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 and after" sheetId="1" state="visible" r:id="rId1"/>
    <sheet name="Summary" sheetId="2" state="visible" r:id="rId2"/>
  </sheets>
  <definedNames>
    <definedName name="_xlnm._FilterDatabase" localSheetId="0" hidden="1">'Before and after'!$A$1:$L$102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color rgb="00808080"/>
      <sz val="10"/>
    </font>
    <font>
      <name val="Arial"/>
      <color rgb="00FF0000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sz val="9"/>
    </font>
    <font>
      <name val="Arial"/>
      <b val="1"/>
      <sz val="14"/>
    </font>
    <font>
      <name val="Arial"/>
      <i val="1"/>
      <sz val="10"/>
    </font>
    <font>
      <name val="Arial"/>
      <b val="1"/>
      <sz val="12"/>
    </font>
    <font>
      <name val="Arial"/>
      <b val="1"/>
      <color rgb="00FF0000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0" fontId="11" fillId="3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2" customWidth="1" min="2" max="2"/>
    <col width="10" customWidth="1" min="3" max="3"/>
    <col width="15" customWidth="1" min="4" max="4"/>
    <col width="15" customWidth="1" min="5" max="5"/>
    <col width="12" customWidth="1" min="6" max="6"/>
    <col width="18" customWidth="1" min="7" max="7"/>
    <col width="18" customWidth="1" min="8" max="8"/>
    <col width="38" customWidth="1" min="9" max="9"/>
    <col width="38" customWidth="1" min="10" max="10"/>
    <col width="20" customWidth="1" min="11" max="11"/>
    <col width="30" customWidth="1" min="12" max="12"/>
  </cols>
  <sheetData>
    <row r="1" ht="30" customHeight="1">
      <c r="A1" s="1" t="inlineStr">
        <is>
          <t>roomCapturePointId</t>
        </is>
      </c>
      <c r="B1" s="1" t="inlineStr">
        <is>
          <t>Capture point name</t>
        </is>
      </c>
      <c r="C1" s="1" t="inlineStr">
        <is>
          <t>360 photos</t>
        </is>
      </c>
      <c r="D1" s="1" t="inlineStr">
        <is>
          <t>yMeters BEFORE</t>
        </is>
      </c>
      <c r="E1" s="1" t="inlineStr">
        <is>
          <t>yMeters AFTER</t>
        </is>
      </c>
      <c r="F1" s="1" t="inlineStr">
        <is>
          <t>PATCH result</t>
        </is>
      </c>
      <c r="G1" s="1" t="inlineStr">
        <is>
          <t>xMeters (unchanged)</t>
        </is>
      </c>
      <c r="H1" s="1" t="inlineStr">
        <is>
          <t>zMeters (unchanged)</t>
        </is>
      </c>
      <c r="I1" s="1" t="inlineStr">
        <is>
          <t>modelRoomId (orphaned)</t>
        </is>
      </c>
      <c r="J1" s="1" t="inlineStr">
        <is>
          <t>modelLevelId</t>
        </is>
      </c>
      <c r="K1" s="1" t="inlineStr">
        <is>
          <t>lastModifiedOn before</t>
        </is>
      </c>
      <c r="L1" s="1" t="inlineStr">
        <is>
          <t>PATCH body to revert</t>
        </is>
      </c>
    </row>
    <row r="2">
      <c r="A2" s="2" t="inlineStr">
        <is>
          <t>00b59622-6948-4ac7-8787-12d090d3f41f</t>
        </is>
      </c>
      <c r="B2" s="3" t="inlineStr">
        <is>
          <t>PH1-L00-FOH CHANGING ROOM ACCESIBLE - Default Point</t>
        </is>
      </c>
      <c r="C2" s="4" t="n">
        <v>0</v>
      </c>
      <c r="D2" s="5" t="n">
        <v>50.39999771118164</v>
      </c>
      <c r="E2" s="6" t="n">
        <v>0</v>
      </c>
      <c r="F2" s="7" t="n">
        <v>200</v>
      </c>
      <c r="G2" s="8" t="n">
        <v>28.10567665100098</v>
      </c>
      <c r="H2" s="8" t="n">
        <v>-1.835027575492859</v>
      </c>
      <c r="I2" s="2" t="inlineStr">
        <is>
          <t>5c9cca72-93b8-4f82-8094-d05484d2bece</t>
        </is>
      </c>
      <c r="J2" s="2" t="inlineStr">
        <is>
          <t>f0f4d409-c2b4-42cf-a8a9-c9497aecb3f7</t>
        </is>
      </c>
      <c r="K2" s="3" t="inlineStr"/>
      <c r="L2" s="2" t="inlineStr">
        <is>
          <t>{"yMeters": 50.39999771118164}</t>
        </is>
      </c>
    </row>
    <row r="3">
      <c r="A3" s="2" t="inlineStr">
        <is>
          <t>5e1372bd-36ff-4abf-bf05-ed9b4b5e131d</t>
        </is>
      </c>
      <c r="B3" s="3" t="inlineStr">
        <is>
          <t>PH1-L00-FOH CHANGING ROOM FEMALE - Default Point</t>
        </is>
      </c>
      <c r="C3" s="4" t="n">
        <v>0</v>
      </c>
      <c r="D3" s="5" t="n">
        <v>50.39999771118164</v>
      </c>
      <c r="E3" s="6" t="n">
        <v>0</v>
      </c>
      <c r="F3" s="7" t="n">
        <v>200</v>
      </c>
      <c r="G3" s="8" t="n">
        <v>24.7784595489502</v>
      </c>
      <c r="H3" s="8" t="n">
        <v>-2.449838876724243</v>
      </c>
      <c r="I3" s="2" t="inlineStr">
        <is>
          <t>555d2552-c0a2-4244-8314-029d3aa4db8a</t>
        </is>
      </c>
      <c r="J3" s="2" t="inlineStr">
        <is>
          <t>f0f4d409-c2b4-42cf-a8a9-c9497aecb3f7</t>
        </is>
      </c>
      <c r="K3" s="3" t="inlineStr"/>
      <c r="L3" s="2" t="inlineStr">
        <is>
          <t>{"yMeters": 50.39999771118164}</t>
        </is>
      </c>
    </row>
    <row r="4">
      <c r="A4" s="2" t="inlineStr">
        <is>
          <t>48f91486-ec3e-4b68-bca9-9aebf2b83a88</t>
        </is>
      </c>
      <c r="B4" s="3" t="inlineStr">
        <is>
          <t>PH1-L00-FOH CHANGING ROOM MALE - Default Point</t>
        </is>
      </c>
      <c r="C4" s="4" t="n">
        <v>0</v>
      </c>
      <c r="D4" s="5" t="n">
        <v>50.39999771118164</v>
      </c>
      <c r="E4" s="6" t="n">
        <v>0</v>
      </c>
      <c r="F4" s="7" t="n">
        <v>200</v>
      </c>
      <c r="G4" s="8" t="n">
        <v>31.46906089782715</v>
      </c>
      <c r="H4" s="8" t="n">
        <v>-2.305177927017212</v>
      </c>
      <c r="I4" s="2" t="inlineStr">
        <is>
          <t>50ae9073-c61b-42d8-bbee-7ba23e66178a</t>
        </is>
      </c>
      <c r="J4" s="2" t="inlineStr">
        <is>
          <t>f0f4d409-c2b4-42cf-a8a9-c9497aecb3f7</t>
        </is>
      </c>
      <c r="K4" s="3" t="inlineStr"/>
      <c r="L4" s="2" t="inlineStr">
        <is>
          <t>{"yMeters": 50.39999771118164}</t>
        </is>
      </c>
    </row>
    <row r="5">
      <c r="A5" s="2" t="inlineStr">
        <is>
          <t>047b01df-33b4-476e-814b-0bf23c5297ba</t>
        </is>
      </c>
      <c r="B5" s="3" t="inlineStr">
        <is>
          <t>PH1-L00-FOH CORRIDOR 121 - Default Point</t>
        </is>
      </c>
      <c r="C5" s="7" t="n">
        <v>9</v>
      </c>
      <c r="D5" s="5" t="n">
        <v>50.39999771118164</v>
      </c>
      <c r="E5" s="6" t="n">
        <v>0</v>
      </c>
      <c r="F5" s="7" t="n">
        <v>200</v>
      </c>
      <c r="G5" s="8" t="n">
        <v>17.2481517791748</v>
      </c>
      <c r="H5" s="8" t="n">
        <v>0.9941811561584473</v>
      </c>
      <c r="I5" s="2" t="inlineStr">
        <is>
          <t>59718d71-e160-484e-9282-d620dd4ea9d5</t>
        </is>
      </c>
      <c r="J5" s="2" t="inlineStr">
        <is>
          <t>f0f4d409-c2b4-42cf-a8a9-c9497aecb3f7</t>
        </is>
      </c>
      <c r="K5" s="3" t="inlineStr"/>
      <c r="L5" s="2" t="inlineStr">
        <is>
          <t>{"yMeters": 50.39999771118164}</t>
        </is>
      </c>
    </row>
    <row r="6">
      <c r="A6" s="2" t="inlineStr">
        <is>
          <t>80426fc9-d9e0-498e-8368-7cc86219d65a</t>
        </is>
      </c>
      <c r="B6" s="3" t="inlineStr">
        <is>
          <t>PH1-L00-FOH CORRIDOR 122 - Default Point</t>
        </is>
      </c>
      <c r="C6" s="7" t="n">
        <v>47</v>
      </c>
      <c r="D6" s="5" t="n">
        <v>50.39999771118164</v>
      </c>
      <c r="E6" s="6" t="n">
        <v>0</v>
      </c>
      <c r="F6" s="7" t="n">
        <v>200</v>
      </c>
      <c r="G6" s="8" t="n">
        <v>47.57541275024414</v>
      </c>
      <c r="H6" s="8" t="n">
        <v>1.75835657119751</v>
      </c>
      <c r="I6" s="2" t="inlineStr">
        <is>
          <t>aaa291fc-0056-45bf-9ed2-c85ab0f83b85</t>
        </is>
      </c>
      <c r="J6" s="2" t="inlineStr">
        <is>
          <t>f0f4d409-c2b4-42cf-a8a9-c9497aecb3f7</t>
        </is>
      </c>
      <c r="K6" s="3" t="inlineStr"/>
      <c r="L6" s="2" t="inlineStr">
        <is>
          <t>{"yMeters": 50.39999771118164}</t>
        </is>
      </c>
    </row>
    <row r="7">
      <c r="A7" s="2" t="inlineStr">
        <is>
          <t>ea69d455-c33b-41a1-9b54-80ad3c6e34e1</t>
        </is>
      </c>
      <c r="B7" s="3" t="inlineStr">
        <is>
          <t>PH1-L00-FOH CORRIDOR 125 - Default Point</t>
        </is>
      </c>
      <c r="C7" s="7" t="n">
        <v>1</v>
      </c>
      <c r="D7" s="5" t="n">
        <v>50.39999771118164</v>
      </c>
      <c r="E7" s="6" t="n">
        <v>0</v>
      </c>
      <c r="F7" s="7" t="n">
        <v>200</v>
      </c>
      <c r="G7" s="8" t="n">
        <v>93.07511138916016</v>
      </c>
      <c r="H7" s="8" t="n">
        <v>1.342455267906189</v>
      </c>
      <c r="I7" s="2" t="inlineStr">
        <is>
          <t>83098f09-5e54-4e5a-a9b6-26e13dfff521</t>
        </is>
      </c>
      <c r="J7" s="2" t="inlineStr">
        <is>
          <t>f0f4d409-c2b4-42cf-a8a9-c9497aecb3f7</t>
        </is>
      </c>
      <c r="K7" s="3" t="inlineStr"/>
      <c r="L7" s="2" t="inlineStr">
        <is>
          <t>{"yMeters": 50.39999771118164}</t>
        </is>
      </c>
    </row>
    <row r="8">
      <c r="A8" s="2" t="inlineStr">
        <is>
          <t>0aa81db3-8959-4d31-9832-fdba8f2a95a9</t>
        </is>
      </c>
      <c r="B8" s="3" t="inlineStr">
        <is>
          <t>PH1-L00-FOH CUSTOMER AVAILABLE SPACE 01 - Default Point</t>
        </is>
      </c>
      <c r="C8" s="7" t="n">
        <v>43</v>
      </c>
      <c r="D8" s="5" t="n">
        <v>50.39999771118164</v>
      </c>
      <c r="E8" s="6" t="n">
        <v>0</v>
      </c>
      <c r="F8" s="7" t="n">
        <v>200</v>
      </c>
      <c r="G8" s="8" t="n">
        <v>47.9598274230957</v>
      </c>
      <c r="H8" s="8" t="n">
        <v>5.866368293762207</v>
      </c>
      <c r="I8" s="2" t="inlineStr">
        <is>
          <t>4cb8d09a-df9a-4430-848a-5614102e2168</t>
        </is>
      </c>
      <c r="J8" s="2" t="inlineStr">
        <is>
          <t>f0f4d409-c2b4-42cf-a8a9-c9497aecb3f7</t>
        </is>
      </c>
      <c r="K8" s="3" t="inlineStr"/>
      <c r="L8" s="2" t="inlineStr">
        <is>
          <t>{"yMeters": 50.39999771118164}</t>
        </is>
      </c>
    </row>
    <row r="9">
      <c r="A9" s="2" t="inlineStr">
        <is>
          <t>9ca87b9f-8e3d-4d03-a109-01d7bbdd7eae</t>
        </is>
      </c>
      <c r="B9" s="3" t="inlineStr">
        <is>
          <t>PH1-L00-FOH CUSTOMER AVAILABLE SPACE 02 - Default Point</t>
        </is>
      </c>
      <c r="C9" s="7" t="n">
        <v>48</v>
      </c>
      <c r="D9" s="5" t="n">
        <v>50.39999771118164</v>
      </c>
      <c r="E9" s="6" t="n">
        <v>0</v>
      </c>
      <c r="F9" s="7" t="n">
        <v>200</v>
      </c>
      <c r="G9" s="8" t="n">
        <v>62.37942123413086</v>
      </c>
      <c r="H9" s="8" t="n">
        <v>3.123497724533081</v>
      </c>
      <c r="I9" s="2" t="inlineStr">
        <is>
          <t>d959bf30-5de6-445b-995e-744a5b4c61cc</t>
        </is>
      </c>
      <c r="J9" s="2" t="inlineStr">
        <is>
          <t>f0f4d409-c2b4-42cf-a8a9-c9497aecb3f7</t>
        </is>
      </c>
      <c r="K9" s="3" t="inlineStr"/>
      <c r="L9" s="2" t="inlineStr">
        <is>
          <t>{"yMeters": 50.39999771118164}</t>
        </is>
      </c>
    </row>
    <row r="10">
      <c r="A10" s="2" t="inlineStr">
        <is>
          <t>47a1f3c3-9497-45cf-9f11-cddd395e44b3</t>
        </is>
      </c>
      <c r="B10" s="3" t="inlineStr">
        <is>
          <t>PH1-L00-FOH CUSTOMER AVAILABLE SPACE 03 - Default Point</t>
        </is>
      </c>
      <c r="C10" s="7" t="n">
        <v>46</v>
      </c>
      <c r="D10" s="5" t="n">
        <v>50.39999771118164</v>
      </c>
      <c r="E10" s="6" t="n">
        <v>0</v>
      </c>
      <c r="F10" s="7" t="n">
        <v>200</v>
      </c>
      <c r="G10" s="8" t="n">
        <v>66.85482788085938</v>
      </c>
      <c r="H10" s="8" t="n">
        <v>7.259227752685547</v>
      </c>
      <c r="I10" s="2" t="inlineStr">
        <is>
          <t>d1101a30-7f6d-478a-8027-550e1f92b7d2</t>
        </is>
      </c>
      <c r="J10" s="2" t="inlineStr">
        <is>
          <t>f0f4d409-c2b4-42cf-a8a9-c9497aecb3f7</t>
        </is>
      </c>
      <c r="K10" s="3" t="inlineStr"/>
      <c r="L10" s="2" t="inlineStr">
        <is>
          <t>{"yMeters": 50.39999771118164}</t>
        </is>
      </c>
    </row>
    <row r="11">
      <c r="A11" s="2" t="inlineStr">
        <is>
          <t>35e3ab37-bbe5-4ad1-90e9-6e6e6ffbea0d</t>
        </is>
      </c>
      <c r="B11" s="3" t="inlineStr">
        <is>
          <t>PH1-L00-FOH CUSTOMER AVAILABLE SPACE 04 - Default Point</t>
        </is>
      </c>
      <c r="C11" s="4" t="n">
        <v>0</v>
      </c>
      <c r="D11" s="5" t="n">
        <v>50.39999771118164</v>
      </c>
      <c r="E11" s="6" t="n">
        <v>0</v>
      </c>
      <c r="F11" s="7" t="n">
        <v>200</v>
      </c>
      <c r="G11" s="8" t="n">
        <v>75.69039916992188</v>
      </c>
      <c r="H11" s="8" t="n">
        <v>-1.652041077613831</v>
      </c>
      <c r="I11" s="2" t="inlineStr">
        <is>
          <t>c2868866-9052-4cd1-a579-c30d43198aa9</t>
        </is>
      </c>
      <c r="J11" s="2" t="inlineStr">
        <is>
          <t>f0f4d409-c2b4-42cf-a8a9-c9497aecb3f7</t>
        </is>
      </c>
      <c r="K11" s="3" t="inlineStr"/>
      <c r="L11" s="2" t="inlineStr">
        <is>
          <t>{"yMeters": 50.39999771118164}</t>
        </is>
      </c>
    </row>
    <row r="12">
      <c r="A12" s="2" t="inlineStr">
        <is>
          <t>3c6e5f5a-43ac-463c-8672-ff92d3f28a76</t>
        </is>
      </c>
      <c r="B12" s="3" t="inlineStr">
        <is>
          <t>PH1-L00-FOH CUSTOMER AVAILABLE SPACE 05 - Default Point</t>
        </is>
      </c>
      <c r="C12" s="4" t="n">
        <v>0</v>
      </c>
      <c r="D12" s="5" t="n">
        <v>50.39999771118164</v>
      </c>
      <c r="E12" s="6" t="n">
        <v>0</v>
      </c>
      <c r="F12" s="7" t="n">
        <v>200</v>
      </c>
      <c r="G12" s="8" t="n">
        <v>64.96012115478516</v>
      </c>
      <c r="H12" s="8" t="n">
        <v>-2.026353120803833</v>
      </c>
      <c r="I12" s="2" t="inlineStr">
        <is>
          <t>f0297c39-e050-4491-b9ec-c68836d70953</t>
        </is>
      </c>
      <c r="J12" s="2" t="inlineStr">
        <is>
          <t>f0f4d409-c2b4-42cf-a8a9-c9497aecb3f7</t>
        </is>
      </c>
      <c r="K12" s="3" t="inlineStr"/>
      <c r="L12" s="2" t="inlineStr">
        <is>
          <t>{"yMeters": 50.39999771118164}</t>
        </is>
      </c>
    </row>
    <row r="13">
      <c r="A13" s="2" t="inlineStr">
        <is>
          <t>24670510-75ea-4667-9436-f9dc4ae2ba43</t>
        </is>
      </c>
      <c r="B13" s="3" t="inlineStr">
        <is>
          <t>PH1-L00-FOH CUSTOMER AVAILABLE SPACE 06 - Default Point</t>
        </is>
      </c>
      <c r="C13" s="4" t="n">
        <v>0</v>
      </c>
      <c r="D13" s="5" t="n">
        <v>50.39999771118164</v>
      </c>
      <c r="E13" s="6" t="n">
        <v>0</v>
      </c>
      <c r="F13" s="7" t="n">
        <v>200</v>
      </c>
      <c r="G13" s="8" t="n">
        <v>45.8065299987793</v>
      </c>
      <c r="H13" s="8" t="n">
        <v>-1.924862742424011</v>
      </c>
      <c r="I13" s="2" t="inlineStr">
        <is>
          <t>9d3ac818-2ea3-45e1-86c3-a8ee68fdaaee</t>
        </is>
      </c>
      <c r="J13" s="2" t="inlineStr">
        <is>
          <t>f0f4d409-c2b4-42cf-a8a9-c9497aecb3f7</t>
        </is>
      </c>
      <c r="K13" s="3" t="inlineStr"/>
      <c r="L13" s="2" t="inlineStr">
        <is>
          <t>{"yMeters": 50.39999771118164}</t>
        </is>
      </c>
    </row>
    <row r="14">
      <c r="A14" s="2" t="inlineStr">
        <is>
          <t>05ba5722-691d-4cf1-97b8-eb0c8c5d1f0a</t>
        </is>
      </c>
      <c r="B14" s="3" t="inlineStr">
        <is>
          <t>PH1-L00-FOH GOODS LIFT 01 - Default Point</t>
        </is>
      </c>
      <c r="C14" s="4" t="n">
        <v>0</v>
      </c>
      <c r="D14" s="5" t="n">
        <v>50.39999771118164</v>
      </c>
      <c r="E14" s="6" t="n">
        <v>0</v>
      </c>
      <c r="F14" s="7" t="n">
        <v>200</v>
      </c>
      <c r="G14" s="8" t="n">
        <v>35.82487869262695</v>
      </c>
      <c r="H14" s="8" t="n">
        <v>-2.174403429031372</v>
      </c>
      <c r="I14" s="2" t="inlineStr">
        <is>
          <t>92e65767-8159-411f-ba95-d835ab4ad3fc</t>
        </is>
      </c>
      <c r="J14" s="2" t="inlineStr">
        <is>
          <t>f0f4d409-c2b4-42cf-a8a9-c9497aecb3f7</t>
        </is>
      </c>
      <c r="K14" s="3" t="inlineStr"/>
      <c r="L14" s="2" t="inlineStr">
        <is>
          <t>{"yMeters": 50.39999771118164}</t>
        </is>
      </c>
    </row>
    <row r="15">
      <c r="A15" s="2" t="inlineStr">
        <is>
          <t>50754207-08ca-4251-b3c1-1bb02f73931e</t>
        </is>
      </c>
      <c r="B15" s="3" t="inlineStr">
        <is>
          <t>PH1-L00-FOH GOODS LIFT 02 - Default Point</t>
        </is>
      </c>
      <c r="C15" s="4" t="n">
        <v>0</v>
      </c>
      <c r="D15" s="5" t="n">
        <v>50.39999771118164</v>
      </c>
      <c r="E15" s="6" t="n">
        <v>0</v>
      </c>
      <c r="F15" s="7" t="n">
        <v>200</v>
      </c>
      <c r="G15" s="8" t="n">
        <v>39.02732467651367</v>
      </c>
      <c r="H15" s="8" t="n">
        <v>-2.548715353012085</v>
      </c>
      <c r="I15" s="2" t="inlineStr">
        <is>
          <t>43b79df3-5380-4cda-b6e4-11e5abbbc93c</t>
        </is>
      </c>
      <c r="J15" s="2" t="inlineStr">
        <is>
          <t>f0f4d409-c2b4-42cf-a8a9-c9497aecb3f7</t>
        </is>
      </c>
      <c r="K15" s="3" t="inlineStr"/>
      <c r="L15" s="2" t="inlineStr">
        <is>
          <t>{"yMeters": 50.39999771118164}</t>
        </is>
      </c>
    </row>
    <row r="16">
      <c r="A16" s="2" t="inlineStr">
        <is>
          <t>00d2e98f-b236-430f-9973-f28aab20c13d</t>
        </is>
      </c>
      <c r="B16" s="3" t="inlineStr">
        <is>
          <t>PH1-L00-FOH GOODS MANTRAP - Default Point</t>
        </is>
      </c>
      <c r="C16" s="4" t="n">
        <v>0</v>
      </c>
      <c r="D16" s="5" t="n">
        <v>50.39999771118164</v>
      </c>
      <c r="E16" s="6" t="n">
        <v>0</v>
      </c>
      <c r="F16" s="7" t="n">
        <v>200</v>
      </c>
      <c r="G16" s="8" t="n">
        <v>38.77431869506836</v>
      </c>
      <c r="H16" s="8" t="n">
        <v>5.646356105804443</v>
      </c>
      <c r="I16" s="2" t="inlineStr">
        <is>
          <t>9e708f16-ccd9-452f-83aa-c43a1eff043c</t>
        </is>
      </c>
      <c r="J16" s="2" t="inlineStr">
        <is>
          <t>f0f4d409-c2b4-42cf-a8a9-c9497aecb3f7</t>
        </is>
      </c>
      <c r="K16" s="3" t="inlineStr"/>
      <c r="L16" s="2" t="inlineStr">
        <is>
          <t>{"yMeters": 50.39999771118164}</t>
        </is>
      </c>
    </row>
    <row r="17">
      <c r="A17" s="2" t="inlineStr">
        <is>
          <t>d0736714-b4a8-4159-8724-5743e0d70b46</t>
        </is>
      </c>
      <c r="B17" s="3" t="inlineStr">
        <is>
          <t>PH1-L00-FOH LIFT 01 - Default Point</t>
        </is>
      </c>
      <c r="C17" s="4" t="n">
        <v>0</v>
      </c>
      <c r="D17" s="5" t="n">
        <v>50.39999771118164</v>
      </c>
      <c r="E17" s="6" t="n">
        <v>0</v>
      </c>
      <c r="F17" s="7" t="n">
        <v>200</v>
      </c>
      <c r="G17" s="8" t="n">
        <v>58.47204971313477</v>
      </c>
      <c r="H17" s="8" t="n">
        <v>-0.487514466047287</v>
      </c>
      <c r="I17" s="2" t="inlineStr">
        <is>
          <t>558a1186-ac91-4204-8fc4-49c4f4b0156b</t>
        </is>
      </c>
      <c r="J17" s="2" t="inlineStr">
        <is>
          <t>f0f4d409-c2b4-42cf-a8a9-c9497aecb3f7</t>
        </is>
      </c>
      <c r="K17" s="3" t="inlineStr"/>
      <c r="L17" s="2" t="inlineStr">
        <is>
          <t>{"yMeters": 50.39999771118164}</t>
        </is>
      </c>
    </row>
    <row r="18">
      <c r="A18" s="2" t="inlineStr">
        <is>
          <t>eeef6560-b9c8-437c-a11b-5ae50d0b24f6</t>
        </is>
      </c>
      <c r="B18" s="3" t="inlineStr">
        <is>
          <t>PH1-L00-FOH LIFT 02 - Default Point</t>
        </is>
      </c>
      <c r="C18" s="4" t="n">
        <v>0</v>
      </c>
      <c r="D18" s="5" t="n">
        <v>50.39999771118164</v>
      </c>
      <c r="E18" s="6" t="n">
        <v>0</v>
      </c>
      <c r="F18" s="7" t="n">
        <v>200</v>
      </c>
      <c r="G18" s="8" t="n">
        <v>60.21883773803711</v>
      </c>
      <c r="H18" s="8" t="n">
        <v>-0.5291049480438232</v>
      </c>
      <c r="I18" s="2" t="inlineStr">
        <is>
          <t>e63ab07f-810e-4523-9388-fbbca49b6685</t>
        </is>
      </c>
      <c r="J18" s="2" t="inlineStr">
        <is>
          <t>f0f4d409-c2b4-42cf-a8a9-c9497aecb3f7</t>
        </is>
      </c>
      <c r="K18" s="3" t="inlineStr"/>
      <c r="L18" s="2" t="inlineStr">
        <is>
          <t>{"yMeters": 50.39999771118164}</t>
        </is>
      </c>
    </row>
    <row r="19">
      <c r="A19" s="2" t="inlineStr">
        <is>
          <t>bea1e8b3-cffd-4edc-921c-4a15c36f22e4</t>
        </is>
      </c>
      <c r="B19" s="3" t="inlineStr">
        <is>
          <t>PH1-L00-FOH MEETING ROOM 1 - Default Point</t>
        </is>
      </c>
      <c r="C19" s="7" t="n">
        <v>44</v>
      </c>
      <c r="D19" s="5" t="n">
        <v>50.39999771118164</v>
      </c>
      <c r="E19" s="6" t="n">
        <v>0</v>
      </c>
      <c r="F19" s="7" t="n">
        <v>200</v>
      </c>
      <c r="G19" s="8" t="n">
        <v>73.48124694824219</v>
      </c>
      <c r="H19" s="8" t="n">
        <v>7.24144458770752</v>
      </c>
      <c r="I19" s="2" t="inlineStr">
        <is>
          <t>6e4018a1-c8d2-4497-9cf2-c046bc4b6d79</t>
        </is>
      </c>
      <c r="J19" s="2" t="inlineStr">
        <is>
          <t>f0f4d409-c2b4-42cf-a8a9-c9497aecb3f7</t>
        </is>
      </c>
      <c r="K19" s="3" t="inlineStr"/>
      <c r="L19" s="2" t="inlineStr">
        <is>
          <t>{"yMeters": 50.39999771118164}</t>
        </is>
      </c>
    </row>
    <row r="20">
      <c r="A20" s="2" t="inlineStr">
        <is>
          <t>15a9a1cb-fc74-48ec-a6d1-f4100fb236a2</t>
        </is>
      </c>
      <c r="B20" s="3" t="inlineStr">
        <is>
          <t>PH1-L00-FOH MEETING ROOM 2 - Default Point</t>
        </is>
      </c>
      <c r="C20" s="7" t="n">
        <v>1</v>
      </c>
      <c r="D20" s="5" t="n">
        <v>50.39999771118164</v>
      </c>
      <c r="E20" s="6" t="n">
        <v>0</v>
      </c>
      <c r="F20" s="7" t="n">
        <v>200</v>
      </c>
      <c r="G20" s="8" t="n">
        <v>83.75889587402344</v>
      </c>
      <c r="H20" s="8" t="n">
        <v>-2.442255735397339</v>
      </c>
      <c r="I20" s="2" t="inlineStr">
        <is>
          <t>c659649d-febe-4bea-89ec-7d885c1d7059</t>
        </is>
      </c>
      <c r="J20" s="2" t="inlineStr">
        <is>
          <t>f0f4d409-c2b4-42cf-a8a9-c9497aecb3f7</t>
        </is>
      </c>
      <c r="K20" s="3" t="inlineStr"/>
      <c r="L20" s="2" t="inlineStr">
        <is>
          <t>{"yMeters": 50.39999771118164}</t>
        </is>
      </c>
    </row>
    <row r="21">
      <c r="A21" s="2" t="inlineStr">
        <is>
          <t>f2570101-3ff3-45bd-9b8f-aa893c30f7ab</t>
        </is>
      </c>
      <c r="B21" s="3" t="inlineStr">
        <is>
          <t>PH1-L00-FOH SECURITY LOBBY - Default Point</t>
        </is>
      </c>
      <c r="C21" s="7" t="n">
        <v>47</v>
      </c>
      <c r="D21" s="5" t="n">
        <v>50.39999771118164</v>
      </c>
      <c r="E21" s="6" t="n">
        <v>0</v>
      </c>
      <c r="F21" s="7" t="n">
        <v>200</v>
      </c>
      <c r="G21" s="8" t="n">
        <v>88.62495422363281</v>
      </c>
      <c r="H21" s="8" t="n">
        <v>6.250100612640381</v>
      </c>
      <c r="I21" s="2" t="inlineStr">
        <is>
          <t>0f35a014-742d-469e-bf82-4fc94289c6d5</t>
        </is>
      </c>
      <c r="J21" s="2" t="inlineStr">
        <is>
          <t>f0f4d409-c2b4-42cf-a8a9-c9497aecb3f7</t>
        </is>
      </c>
      <c r="K21" s="3" t="inlineStr"/>
      <c r="L21" s="2" t="inlineStr">
        <is>
          <t>{"yMeters": 50.39999771118164}</t>
        </is>
      </c>
    </row>
    <row r="22">
      <c r="A22" s="2" t="inlineStr">
        <is>
          <t>354069a8-ea34-4e7f-b3dd-1f15fb37dab4</t>
        </is>
      </c>
      <c r="B22" s="3" t="inlineStr">
        <is>
          <t>PH1-L00-FOH SECURITY ROOM 1 - Default Point</t>
        </is>
      </c>
      <c r="C22" s="7" t="n">
        <v>13</v>
      </c>
      <c r="D22" s="5" t="n">
        <v>50.39999771118164</v>
      </c>
      <c r="E22" s="6" t="n">
        <v>0</v>
      </c>
      <c r="F22" s="7" t="n">
        <v>200</v>
      </c>
      <c r="G22" s="8" t="n">
        <v>76.52220153808594</v>
      </c>
      <c r="H22" s="8" t="n">
        <v>7.622577667236328</v>
      </c>
      <c r="I22" s="2" t="inlineStr">
        <is>
          <t>3e3ba657-fdf5-4fee-91a2-763e8301c8ba</t>
        </is>
      </c>
      <c r="J22" s="2" t="inlineStr">
        <is>
          <t>f0f4d409-c2b4-42cf-a8a9-c9497aecb3f7</t>
        </is>
      </c>
      <c r="K22" s="3" t="inlineStr"/>
      <c r="L22" s="2" t="inlineStr">
        <is>
          <t>{"yMeters": 50.39999771118164}</t>
        </is>
      </c>
    </row>
    <row r="23">
      <c r="A23" s="2" t="inlineStr">
        <is>
          <t>37baec5e-97df-4fd7-b0f8-fea32d50add5</t>
        </is>
      </c>
      <c r="B23" s="3" t="inlineStr">
        <is>
          <t>PH1-L00-FOH SECURITY ROOM 2 - Default Point</t>
        </is>
      </c>
      <c r="C23" s="7" t="n">
        <v>33</v>
      </c>
      <c r="D23" s="5" t="n">
        <v>50.39999771118164</v>
      </c>
      <c r="E23" s="6" t="n">
        <v>0</v>
      </c>
      <c r="F23" s="7" t="n">
        <v>200</v>
      </c>
      <c r="G23" s="8" t="n">
        <v>80.41162872314453</v>
      </c>
      <c r="H23" s="8" t="n">
        <v>7.406453609466553</v>
      </c>
      <c r="I23" s="2" t="inlineStr">
        <is>
          <t>47211170-efb6-4d47-99cb-1e169789f54d</t>
        </is>
      </c>
      <c r="J23" s="2" t="inlineStr">
        <is>
          <t>f0f4d409-c2b4-42cf-a8a9-c9497aecb3f7</t>
        </is>
      </c>
      <c r="K23" s="3" t="inlineStr"/>
      <c r="L23" s="2" t="inlineStr">
        <is>
          <t>{"yMeters": 50.39999771118164}</t>
        </is>
      </c>
    </row>
    <row r="24">
      <c r="A24" s="2" t="inlineStr">
        <is>
          <t>40cebdf8-ca13-4e66-95c2-20b12a2ad36a</t>
        </is>
      </c>
      <c r="B24" s="3" t="inlineStr">
        <is>
          <t>PH1-L00-FOH SECURITY ROOM 3 - Default Point</t>
        </is>
      </c>
      <c r="C24" s="7" t="n">
        <v>20</v>
      </c>
      <c r="D24" s="5" t="n">
        <v>50.39999771118164</v>
      </c>
      <c r="E24" s="6" t="n">
        <v>0</v>
      </c>
      <c r="F24" s="7" t="n">
        <v>200</v>
      </c>
      <c r="G24" s="8" t="n">
        <v>83.29202270507812</v>
      </c>
      <c r="H24" s="8" t="n">
        <v>7.622555732727051</v>
      </c>
      <c r="I24" s="2" t="inlineStr">
        <is>
          <t>99ee316e-a6a0-4740-95a9-2f5fc2ec5876</t>
        </is>
      </c>
      <c r="J24" s="2" t="inlineStr">
        <is>
          <t>f0f4d409-c2b4-42cf-a8a9-c9497aecb3f7</t>
        </is>
      </c>
      <c r="K24" s="3" t="inlineStr"/>
      <c r="L24" s="2" t="inlineStr">
        <is>
          <t>{"yMeters": 50.39999771118164}</t>
        </is>
      </c>
    </row>
    <row r="25">
      <c r="A25" s="2" t="inlineStr">
        <is>
          <t>bc8bcb23-73ad-4ad1-9bee-c38465ade8af</t>
        </is>
      </c>
      <c r="B25" s="3" t="inlineStr">
        <is>
          <t>PH1-L00-FOH SHIPPING &amp; RECEIVING - Default Point</t>
        </is>
      </c>
      <c r="C25" s="7" t="n">
        <v>41</v>
      </c>
      <c r="D25" s="5" t="n">
        <v>50.39999771118164</v>
      </c>
      <c r="E25" s="6" t="n">
        <v>0</v>
      </c>
      <c r="F25" s="7" t="n">
        <v>200</v>
      </c>
      <c r="G25" s="8" t="n">
        <v>29.24304962158203</v>
      </c>
      <c r="H25" s="8" t="n">
        <v>6.323312282562256</v>
      </c>
      <c r="I25" s="2" t="inlineStr">
        <is>
          <t>5a26f216-a0e3-45d9-bb7b-e7b840e9b3dd</t>
        </is>
      </c>
      <c r="J25" s="2" t="inlineStr">
        <is>
          <t>f0f4d409-c2b4-42cf-a8a9-c9497aecb3f7</t>
        </is>
      </c>
      <c r="K25" s="3" t="inlineStr"/>
      <c r="L25" s="2" t="inlineStr">
        <is>
          <t>{"yMeters": 50.39999771118164}</t>
        </is>
      </c>
    </row>
    <row r="26">
      <c r="A26" s="2" t="inlineStr">
        <is>
          <t>3357fdae-3527-4ee6-baa4-d4a633da1515</t>
        </is>
      </c>
      <c r="B26" s="3" t="inlineStr">
        <is>
          <t>PH1-L00-FOH STACKING/UNPACKING AREA - Default Point</t>
        </is>
      </c>
      <c r="C26" s="4" t="n">
        <v>0</v>
      </c>
      <c r="D26" s="5" t="n">
        <v>50.39999771118164</v>
      </c>
      <c r="E26" s="6" t="n">
        <v>0</v>
      </c>
      <c r="F26" s="7" t="n">
        <v>200</v>
      </c>
      <c r="G26" s="8" t="n">
        <v>35.80544281005859</v>
      </c>
      <c r="H26" s="8" t="n">
        <v>7.83790111541748</v>
      </c>
      <c r="I26" s="2" t="inlineStr">
        <is>
          <t>63b70397-26dc-499f-9d88-f75b2c8718ef</t>
        </is>
      </c>
      <c r="J26" s="2" t="inlineStr">
        <is>
          <t>f0f4d409-c2b4-42cf-a8a9-c9497aecb3f7</t>
        </is>
      </c>
      <c r="K26" s="3" t="inlineStr"/>
      <c r="L26" s="2" t="inlineStr">
        <is>
          <t>{"yMeters": 50.39999771118164}</t>
        </is>
      </c>
    </row>
    <row r="27">
      <c r="A27" s="2" t="inlineStr">
        <is>
          <t>620b55ec-604a-41eb-9d7d-321088296da9</t>
        </is>
      </c>
      <c r="B27" s="3" t="inlineStr">
        <is>
          <t>PH1-L00-FOH STAIRS NORTH 1A - Default Point</t>
        </is>
      </c>
      <c r="C27" s="4" t="n">
        <v>0</v>
      </c>
      <c r="D27" s="5" t="n">
        <v>50.39999771118164</v>
      </c>
      <c r="E27" s="6" t="n">
        <v>0</v>
      </c>
      <c r="F27" s="7" t="n">
        <v>200</v>
      </c>
      <c r="G27" s="8" t="n">
        <v>19.80459594726562</v>
      </c>
      <c r="H27" s="8" t="n">
        <v>-1.989916920661926</v>
      </c>
      <c r="I27" s="2" t="inlineStr">
        <is>
          <t>87f9b747-58f4-403e-9d2c-62744237f7e8</t>
        </is>
      </c>
      <c r="J27" s="2" t="inlineStr">
        <is>
          <t>f0f4d409-c2b4-42cf-a8a9-c9497aecb3f7</t>
        </is>
      </c>
      <c r="K27" s="3" t="inlineStr"/>
      <c r="L27" s="2" t="inlineStr">
        <is>
          <t>{"yMeters": 50.39999771118164}</t>
        </is>
      </c>
    </row>
    <row r="28">
      <c r="A28" s="2" t="inlineStr">
        <is>
          <t>bb1430e9-8ccc-49d4-8a4c-4fb6a36fb42f</t>
        </is>
      </c>
      <c r="B28" s="3" t="inlineStr">
        <is>
          <t>PH1-L00-FOH STAIRS NORTH 1B - Default Point</t>
        </is>
      </c>
      <c r="C28" s="4" t="n">
        <v>0</v>
      </c>
      <c r="D28" s="5" t="n">
        <v>50.39999771118164</v>
      </c>
      <c r="E28" s="6" t="n">
        <v>0</v>
      </c>
      <c r="F28" s="7" t="n">
        <v>200</v>
      </c>
      <c r="G28" s="8" t="n">
        <v>44.01815032958984</v>
      </c>
      <c r="H28" s="8" t="n">
        <v>-2.091223478317261</v>
      </c>
      <c r="I28" s="2" t="inlineStr">
        <is>
          <t>030287e2-0e77-4e0e-bb01-2f6ba6b5751d</t>
        </is>
      </c>
      <c r="J28" s="2" t="inlineStr">
        <is>
          <t>f0f4d409-c2b4-42cf-a8a9-c9497aecb3f7</t>
        </is>
      </c>
      <c r="K28" s="3" t="inlineStr"/>
      <c r="L28" s="2" t="inlineStr">
        <is>
          <t>{"yMeters": 50.39999771118164}</t>
        </is>
      </c>
    </row>
    <row r="29">
      <c r="A29" s="2" t="inlineStr">
        <is>
          <t>1ad7068c-006b-4319-ace8-9435d0576792</t>
        </is>
      </c>
      <c r="B29" s="3" t="inlineStr">
        <is>
          <t>PH1-L00-FOH STAIRS NORTH 2A - Default Point</t>
        </is>
      </c>
      <c r="C29" s="4" t="n">
        <v>0</v>
      </c>
      <c r="D29" s="5" t="n">
        <v>50.39999771118164</v>
      </c>
      <c r="E29" s="6" t="n">
        <v>0</v>
      </c>
      <c r="F29" s="7" t="n">
        <v>200</v>
      </c>
      <c r="G29" s="8" t="n">
        <v>66.99803924560547</v>
      </c>
      <c r="H29" s="8" t="n">
        <v>-1.111368298530579</v>
      </c>
      <c r="I29" s="2" t="inlineStr">
        <is>
          <t>fa49dcc4-fa15-44ed-bc4a-e7b5b1bc00f3</t>
        </is>
      </c>
      <c r="J29" s="2" t="inlineStr">
        <is>
          <t>f0f4d409-c2b4-42cf-a8a9-c9497aecb3f7</t>
        </is>
      </c>
      <c r="K29" s="3" t="inlineStr"/>
      <c r="L29" s="2" t="inlineStr">
        <is>
          <t>{"yMeters": 50.39999771118164}</t>
        </is>
      </c>
    </row>
    <row r="30">
      <c r="A30" s="2" t="inlineStr">
        <is>
          <t>26ee1141-9a73-4fea-8a76-261a57b08b9d</t>
        </is>
      </c>
      <c r="B30" s="3" t="inlineStr">
        <is>
          <t>PH1-L00-FOH STAIRS NORTH 2B - Default Point</t>
        </is>
      </c>
      <c r="C30" s="4" t="n">
        <v>0</v>
      </c>
      <c r="D30" s="5" t="n">
        <v>50.39999771118164</v>
      </c>
      <c r="E30" s="6" t="n">
        <v>0</v>
      </c>
      <c r="F30" s="7" t="n">
        <v>200</v>
      </c>
      <c r="G30" s="8" t="n">
        <v>90.87082672119141</v>
      </c>
      <c r="H30" s="8" t="n">
        <v>-0.8202360272407532</v>
      </c>
      <c r="I30" s="2" t="inlineStr">
        <is>
          <t>0ad61829-2356-4895-a560-d2650c00d366</t>
        </is>
      </c>
      <c r="J30" s="2" t="inlineStr">
        <is>
          <t>f0f4d409-c2b4-42cf-a8a9-c9497aecb3f7</t>
        </is>
      </c>
      <c r="K30" s="3" t="inlineStr"/>
      <c r="L30" s="2" t="inlineStr">
        <is>
          <t>{"yMeters": 50.39999771118164}</t>
        </is>
      </c>
    </row>
    <row r="31">
      <c r="A31" s="2" t="inlineStr">
        <is>
          <t>06d890b3-7346-4dcf-840b-39db05bcc445</t>
        </is>
      </c>
      <c r="B31" s="3" t="inlineStr">
        <is>
          <t>PH1-L00-FOH VESTIBULE - Default Point</t>
        </is>
      </c>
      <c r="C31" s="4" t="n">
        <v>0</v>
      </c>
      <c r="D31" s="5" t="n">
        <v>50.39999771118164</v>
      </c>
      <c r="E31" s="6" t="n">
        <v>0</v>
      </c>
      <c r="F31" s="7" t="n">
        <v>200</v>
      </c>
      <c r="G31" s="8" t="n">
        <v>93.22357177734375</v>
      </c>
      <c r="H31" s="8" t="n">
        <v>8.443805694580078</v>
      </c>
      <c r="I31" s="2" t="inlineStr">
        <is>
          <t>969edf32-3a5d-4606-af4e-0fcafa5c46be</t>
        </is>
      </c>
      <c r="J31" s="2" t="inlineStr">
        <is>
          <t>f0f4d409-c2b4-42cf-a8a9-c9497aecb3f7</t>
        </is>
      </c>
      <c r="K31" s="3" t="inlineStr"/>
      <c r="L31" s="2" t="inlineStr">
        <is>
          <t>{"yMeters": 50.39999771118164}</t>
        </is>
      </c>
    </row>
    <row r="32">
      <c r="A32" s="2" t="inlineStr">
        <is>
          <t>4872a1d7-afa9-4be5-9698-74b316f6da02</t>
        </is>
      </c>
      <c r="B32" s="3" t="inlineStr">
        <is>
          <t>PH1-L00-FOH WC 01 - Default Point</t>
        </is>
      </c>
      <c r="C32" s="4" t="n">
        <v>0</v>
      </c>
      <c r="D32" s="5" t="n">
        <v>50.39999771118164</v>
      </c>
      <c r="E32" s="6" t="n">
        <v>0</v>
      </c>
      <c r="F32" s="7" t="n">
        <v>200</v>
      </c>
      <c r="G32" s="8" t="n">
        <v>41.59298706054688</v>
      </c>
      <c r="H32" s="8" t="n">
        <v>7.164090633392334</v>
      </c>
      <c r="I32" s="2" t="inlineStr">
        <is>
          <t>fc41ab4e-2a2c-4caa-8ef5-d80ff199bb26</t>
        </is>
      </c>
      <c r="J32" s="2" t="inlineStr">
        <is>
          <t>f0f4d409-c2b4-42cf-a8a9-c9497aecb3f7</t>
        </is>
      </c>
      <c r="K32" s="3" t="inlineStr"/>
      <c r="L32" s="2" t="inlineStr">
        <is>
          <t>{"yMeters": 50.39999771118164}</t>
        </is>
      </c>
    </row>
    <row r="33">
      <c r="A33" s="2" t="inlineStr">
        <is>
          <t>c304c4f8-4215-496f-a4dd-531f8f240f94</t>
        </is>
      </c>
      <c r="B33" s="3" t="inlineStr">
        <is>
          <t>PH1-L00-FOH WC 2 - Default Point</t>
        </is>
      </c>
      <c r="C33" s="7" t="n">
        <v>1</v>
      </c>
      <c r="D33" s="5" t="n">
        <v>50.39999771118164</v>
      </c>
      <c r="E33" s="6" t="n">
        <v>0</v>
      </c>
      <c r="F33" s="7" t="n">
        <v>200</v>
      </c>
      <c r="G33" s="8" t="n">
        <v>86.58702850341797</v>
      </c>
      <c r="H33" s="8" t="n">
        <v>-2.608616352081299</v>
      </c>
      <c r="I33" s="2" t="inlineStr">
        <is>
          <t>31648df0-f0c6-45d1-a13d-55e6a5493462</t>
        </is>
      </c>
      <c r="J33" s="2" t="inlineStr">
        <is>
          <t>f0f4d409-c2b4-42cf-a8a9-c9497aecb3f7</t>
        </is>
      </c>
      <c r="K33" s="3" t="inlineStr"/>
      <c r="L33" s="2" t="inlineStr">
        <is>
          <t>{"yMeters": 50.39999771118164}</t>
        </is>
      </c>
    </row>
    <row r="34">
      <c r="A34" s="2" t="inlineStr">
        <is>
          <t>c9175085-42ed-4ed6-97d0-529f34505b97</t>
        </is>
      </c>
      <c r="B34" s="3" t="inlineStr">
        <is>
          <t>PH1-L00-FOH WC FEMALE - Default Point</t>
        </is>
      </c>
      <c r="C34" s="4" t="n">
        <v>0</v>
      </c>
      <c r="D34" s="5" t="n">
        <v>50.39999771118164</v>
      </c>
      <c r="E34" s="6" t="n">
        <v>0</v>
      </c>
      <c r="F34" s="7" t="n">
        <v>200</v>
      </c>
      <c r="G34" s="8" t="n">
        <v>51.31852722167969</v>
      </c>
      <c r="H34" s="8" t="n">
        <v>-0.5291049480438232</v>
      </c>
      <c r="I34" s="2" t="inlineStr">
        <is>
          <t>8a9b2a03-d118-497d-a14e-50d3d3e73807</t>
        </is>
      </c>
      <c r="J34" s="2" t="inlineStr">
        <is>
          <t>f0f4d409-c2b4-42cf-a8a9-c9497aecb3f7</t>
        </is>
      </c>
      <c r="K34" s="3" t="inlineStr"/>
      <c r="L34" s="2" t="inlineStr">
        <is>
          <t>{"yMeters": 50.39999771118164}</t>
        </is>
      </c>
    </row>
    <row r="35">
      <c r="A35" s="2" t="inlineStr">
        <is>
          <t>43f3a481-1721-4624-bc43-4986b88cbf7b</t>
        </is>
      </c>
      <c r="B35" s="3" t="inlineStr">
        <is>
          <t>PH1-L00-FOH WC MALE - Default Point</t>
        </is>
      </c>
      <c r="C35" s="4" t="n">
        <v>0</v>
      </c>
      <c r="D35" s="5" t="n">
        <v>50.39999771118164</v>
      </c>
      <c r="E35" s="6" t="n">
        <v>0</v>
      </c>
      <c r="F35" s="7" t="n">
        <v>200</v>
      </c>
      <c r="G35" s="8" t="n">
        <v>55.22801208496094</v>
      </c>
      <c r="H35" s="8" t="n">
        <v>-0.487514466047287</v>
      </c>
      <c r="I35" s="2" t="inlineStr">
        <is>
          <t>411d02ef-cdba-467d-b349-e7a79382c6e8</t>
        </is>
      </c>
      <c r="J35" s="2" t="inlineStr">
        <is>
          <t>f0f4d409-c2b4-42cf-a8a9-c9497aecb3f7</t>
        </is>
      </c>
      <c r="K35" s="3" t="inlineStr"/>
      <c r="L35" s="2" t="inlineStr">
        <is>
          <t>{"yMeters": 50.39999771118164}</t>
        </is>
      </c>
    </row>
    <row r="36">
      <c r="A36" s="2" t="inlineStr">
        <is>
          <t>ae817402-3b26-4321-adf1-af3fb0311dbc</t>
        </is>
      </c>
      <c r="B36" s="3" t="inlineStr">
        <is>
          <t>PH1-L00-MB BBU STORAGE A - Default Point</t>
        </is>
      </c>
      <c r="C36" s="7" t="n">
        <v>6</v>
      </c>
      <c r="D36" s="5" t="n">
        <v>50.39999771118164</v>
      </c>
      <c r="E36" s="6" t="n">
        <v>0</v>
      </c>
      <c r="F36" s="7" t="n">
        <v>200</v>
      </c>
      <c r="G36" s="8" t="n">
        <v>1.733024477958679</v>
      </c>
      <c r="H36" s="8" t="n">
        <v>-32.8046989440918</v>
      </c>
      <c r="I36" s="2" t="inlineStr">
        <is>
          <t>b0fee178-cbb6-4f88-8a00-6efe48761a05</t>
        </is>
      </c>
      <c r="J36" s="2" t="inlineStr">
        <is>
          <t>f0f4d409-c2b4-42cf-a8a9-c9497aecb3f7</t>
        </is>
      </c>
      <c r="K36" s="3" t="inlineStr"/>
      <c r="L36" s="2" t="inlineStr">
        <is>
          <t>{"yMeters": 50.39999771118164}</t>
        </is>
      </c>
    </row>
    <row r="37">
      <c r="A37" s="2" t="inlineStr">
        <is>
          <t>39d7e937-31f3-4ad6-9e62-9466a4005e86</t>
        </is>
      </c>
      <c r="B37" s="3" t="inlineStr">
        <is>
          <t>PH1-L00-MB BBU STORAGE D - Default Point</t>
        </is>
      </c>
      <c r="C37" s="7" t="n">
        <v>13</v>
      </c>
      <c r="D37" s="5" t="n">
        <v>50.39999771118164</v>
      </c>
      <c r="E37" s="6" t="n">
        <v>0</v>
      </c>
      <c r="F37" s="7" t="n">
        <v>200</v>
      </c>
      <c r="G37" s="8" t="n">
        <v>50.9616584777832</v>
      </c>
      <c r="H37" s="8" t="n">
        <v>-13.60867977142334</v>
      </c>
      <c r="I37" s="2" t="inlineStr">
        <is>
          <t>eeb34c16-eaab-4eed-944a-b84d5b0be5c2</t>
        </is>
      </c>
      <c r="J37" s="2" t="inlineStr">
        <is>
          <t>f0f4d409-c2b4-42cf-a8a9-c9497aecb3f7</t>
        </is>
      </c>
      <c r="K37" s="3" t="inlineStr"/>
      <c r="L37" s="2" t="inlineStr">
        <is>
          <t>{"yMeters": 50.39999771118164}</t>
        </is>
      </c>
    </row>
    <row r="38">
      <c r="A38" s="2" t="inlineStr">
        <is>
          <t>da5c514a-2be2-43a4-8319-376559fef60c</t>
        </is>
      </c>
      <c r="B38" s="3" t="inlineStr">
        <is>
          <t>PH1-L00-MB CATCHER BATTERY R1 - Default Point</t>
        </is>
      </c>
      <c r="C38" s="7" t="n">
        <v>12</v>
      </c>
      <c r="D38" s="5" t="n">
        <v>50.39999771118164</v>
      </c>
      <c r="E38" s="6" t="n">
        <v>0</v>
      </c>
      <c r="F38" s="7" t="n">
        <v>200</v>
      </c>
      <c r="G38" s="8" t="n">
        <v>13.49905586242676</v>
      </c>
      <c r="H38" s="8" t="n">
        <v>-53.02886199951172</v>
      </c>
      <c r="I38" s="2" t="inlineStr">
        <is>
          <t>d6553a29-fdde-4862-ac79-a07b2bd6d739</t>
        </is>
      </c>
      <c r="J38" s="2" t="inlineStr">
        <is>
          <t>f0f4d409-c2b4-42cf-a8a9-c9497aecb3f7</t>
        </is>
      </c>
      <c r="K38" s="3" t="inlineStr"/>
      <c r="L38" s="2" t="inlineStr">
        <is>
          <t>{"yMeters": 50.39999771118164}</t>
        </is>
      </c>
    </row>
    <row r="39">
      <c r="A39" s="2" t="inlineStr">
        <is>
          <t>9ed136e2-3104-4cf3-a59e-e78720485257</t>
        </is>
      </c>
      <c r="B39" s="3" t="inlineStr">
        <is>
          <t>PH1-L00-MB CATCHER TRANSFORMER R1 - Default Point</t>
        </is>
      </c>
      <c r="C39" s="7" t="n">
        <v>5</v>
      </c>
      <c r="D39" s="5" t="n">
        <v>50.39999771118164</v>
      </c>
      <c r="E39" s="6" t="n">
        <v>0</v>
      </c>
      <c r="F39" s="7" t="n">
        <v>200</v>
      </c>
      <c r="G39" s="8" t="n">
        <v>9.256853103637695</v>
      </c>
      <c r="H39" s="8" t="n">
        <v>-53.07044982910156</v>
      </c>
      <c r="I39" s="2" t="inlineStr">
        <is>
          <t>872ab70f-bac3-45c7-9368-c5bc40a23353</t>
        </is>
      </c>
      <c r="J39" s="2" t="inlineStr">
        <is>
          <t>f0f4d409-c2b4-42cf-a8a9-c9497aecb3f7</t>
        </is>
      </c>
      <c r="K39" s="3" t="inlineStr"/>
      <c r="L39" s="2" t="inlineStr">
        <is>
          <t>{"yMeters": 50.39999771118164}</t>
        </is>
      </c>
    </row>
    <row r="40">
      <c r="A40" s="2" t="inlineStr">
        <is>
          <t>150c88e0-7fbe-4d47-ac2f-75becb28a628</t>
        </is>
      </c>
      <c r="B40" s="3" t="inlineStr">
        <is>
          <t>PH1-L00-MB CATCHER UPS R1 - Default Point</t>
        </is>
      </c>
      <c r="C40" s="7" t="n">
        <v>13</v>
      </c>
      <c r="D40" s="5" t="n">
        <v>50.39999771118164</v>
      </c>
      <c r="E40" s="6" t="n">
        <v>0</v>
      </c>
      <c r="F40" s="7" t="n">
        <v>200</v>
      </c>
      <c r="G40" s="8" t="n">
        <v>29.64599227905273</v>
      </c>
      <c r="H40" s="8" t="n">
        <v>-52.54290390014648</v>
      </c>
      <c r="I40" s="2" t="inlineStr">
        <is>
          <t>0ffeb775-e511-4c65-80b9-a0f15302e61a</t>
        </is>
      </c>
      <c r="J40" s="2" t="inlineStr">
        <is>
          <t>f0f4d409-c2b4-42cf-a8a9-c9497aecb3f7</t>
        </is>
      </c>
      <c r="K40" s="3" t="inlineStr"/>
      <c r="L40" s="2" t="inlineStr">
        <is>
          <t>{"yMeters": 50.39999771118164}</t>
        </is>
      </c>
    </row>
    <row r="41">
      <c r="A41" s="2" t="inlineStr">
        <is>
          <t>b00e00b5-5a3d-46a3-b136-99da977ef07b</t>
        </is>
      </c>
      <c r="B41" s="3" t="inlineStr">
        <is>
          <t>PH1-L00-MB CENTRAL CORRIDOR EAST - Default Point</t>
        </is>
      </c>
      <c r="C41" s="7" t="n">
        <v>9</v>
      </c>
      <c r="D41" s="5" t="n">
        <v>50.39999771118164</v>
      </c>
      <c r="E41" s="6" t="n">
        <v>0</v>
      </c>
      <c r="F41" s="7" t="n">
        <v>200</v>
      </c>
      <c r="G41" s="8" t="n">
        <v>27.24783515930176</v>
      </c>
      <c r="H41" s="8" t="n">
        <v>-30.70131683349609</v>
      </c>
      <c r="I41" s="2" t="inlineStr">
        <is>
          <t>3f5f576a-ef41-497c-9b17-15ccb637df79</t>
        </is>
      </c>
      <c r="J41" s="2" t="inlineStr">
        <is>
          <t>f0f4d409-c2b4-42cf-a8a9-c9497aecb3f7</t>
        </is>
      </c>
      <c r="K41" s="3" t="inlineStr"/>
      <c r="L41" s="2" t="inlineStr">
        <is>
          <t>{"yMeters": 50.39999771118164}</t>
        </is>
      </c>
    </row>
    <row r="42">
      <c r="A42" s="2" t="inlineStr">
        <is>
          <t>3ce44959-0f83-4862-8681-96c00437c4dc</t>
        </is>
      </c>
      <c r="B42" s="3" t="inlineStr">
        <is>
          <t>PH1-L00-MB CENTRAL CORRIDOR WEST - Default Point</t>
        </is>
      </c>
      <c r="C42" s="7" t="n">
        <v>2</v>
      </c>
      <c r="D42" s="5" t="n">
        <v>50.39999771118164</v>
      </c>
      <c r="E42" s="6" t="n">
        <v>0</v>
      </c>
      <c r="F42" s="7" t="n">
        <v>200</v>
      </c>
      <c r="G42" s="8" t="n">
        <v>25.36069107055664</v>
      </c>
      <c r="H42" s="8" t="n">
        <v>-24.24262237548828</v>
      </c>
      <c r="I42" s="2" t="inlineStr">
        <is>
          <t>488025d9-ae0c-4bee-a1bf-1cf87af8327f</t>
        </is>
      </c>
      <c r="J42" s="2" t="inlineStr">
        <is>
          <t>f0f4d409-c2b4-42cf-a8a9-c9497aecb3f7</t>
        </is>
      </c>
      <c r="K42" s="3" t="inlineStr"/>
      <c r="L42" s="2" t="inlineStr">
        <is>
          <t>{"yMeters": 50.39999771118164}</t>
        </is>
      </c>
    </row>
    <row r="43">
      <c r="A43" s="2" t="inlineStr">
        <is>
          <t>2f313755-e5cf-4711-86e1-5711c472effc</t>
        </is>
      </c>
      <c r="B43" s="3" t="inlineStr">
        <is>
          <t>PH1-L00-MB CICO ROOM 1 - Default Point</t>
        </is>
      </c>
      <c r="C43" s="7" t="n">
        <v>2</v>
      </c>
      <c r="D43" s="5" t="n">
        <v>50.39999771118164</v>
      </c>
      <c r="E43" s="6" t="n">
        <v>0</v>
      </c>
      <c r="F43" s="7" t="n">
        <v>200</v>
      </c>
      <c r="G43" s="8" t="n">
        <v>7.093000888824463</v>
      </c>
      <c r="H43" s="8" t="n">
        <v>-8.841693878173828</v>
      </c>
      <c r="I43" s="2" t="inlineStr">
        <is>
          <t>203d0408-671e-4a90-85f0-4fde5fea5b0b</t>
        </is>
      </c>
      <c r="J43" s="2" t="inlineStr">
        <is>
          <t>f0f4d409-c2b4-42cf-a8a9-c9497aecb3f7</t>
        </is>
      </c>
      <c r="K43" s="3" t="inlineStr"/>
      <c r="L43" s="2" t="inlineStr">
        <is>
          <t>{"yMeters": 50.39999771118164}</t>
        </is>
      </c>
    </row>
    <row r="44">
      <c r="A44" s="2" t="inlineStr">
        <is>
          <t>b1478d50-18c2-4046-a58e-913b49bea0de</t>
        </is>
      </c>
      <c r="B44" s="3" t="inlineStr">
        <is>
          <t>PH1-L00-MB CICO ROOM 2 - Default Point</t>
        </is>
      </c>
      <c r="C44" s="7" t="n">
        <v>2</v>
      </c>
      <c r="D44" s="5" t="n">
        <v>50.39999771118164</v>
      </c>
      <c r="E44" s="6" t="n">
        <v>0</v>
      </c>
      <c r="F44" s="7" t="n">
        <v>200</v>
      </c>
      <c r="G44" s="8" t="n">
        <v>45.96431350708008</v>
      </c>
      <c r="H44" s="8" t="n">
        <v>-8.627725601196289</v>
      </c>
      <c r="I44" s="2" t="inlineStr">
        <is>
          <t>a8866bd0-055d-4598-afc3-dd8a87035910</t>
        </is>
      </c>
      <c r="J44" s="2" t="inlineStr">
        <is>
          <t>f0f4d409-c2b4-42cf-a8a9-c9497aecb3f7</t>
        </is>
      </c>
      <c r="K44" s="3" t="inlineStr"/>
      <c r="L44" s="2" t="inlineStr">
        <is>
          <t>{"yMeters": 50.39999771118164}</t>
        </is>
      </c>
    </row>
    <row r="45">
      <c r="A45" s="2" t="inlineStr">
        <is>
          <t>94ee74c0-4a46-4ca1-a6e0-38bb008d4e42</t>
        </is>
      </c>
      <c r="B45" s="3" t="inlineStr">
        <is>
          <t>PH1-L00-MB CORRIDOR 124 - Default Point</t>
        </is>
      </c>
      <c r="C45" s="7" t="n">
        <v>37</v>
      </c>
      <c r="D45" s="5" t="n">
        <v>50.39999771118164</v>
      </c>
      <c r="E45" s="6" t="n">
        <v>0</v>
      </c>
      <c r="F45" s="7" t="n">
        <v>200</v>
      </c>
      <c r="G45" s="8" t="n">
        <v>57.8897819519043</v>
      </c>
      <c r="H45" s="8" t="n">
        <v>-2.774977207183838</v>
      </c>
      <c r="I45" s="2" t="inlineStr">
        <is>
          <t>73fc78a4-aab3-4603-bd79-b706331b5b12</t>
        </is>
      </c>
      <c r="J45" s="2" t="inlineStr">
        <is>
          <t>f0f4d409-c2b4-42cf-a8a9-c9497aecb3f7</t>
        </is>
      </c>
      <c r="K45" s="3" t="inlineStr"/>
      <c r="L45" s="2" t="inlineStr">
        <is>
          <t>{"yMeters": 50.39999771118164}</t>
        </is>
      </c>
    </row>
    <row r="46">
      <c r="A46" s="2" t="inlineStr">
        <is>
          <t>34d200bb-7e2d-489f-bae3-f1b316af56fb</t>
        </is>
      </c>
      <c r="B46" s="3" t="inlineStr">
        <is>
          <t>PH1-L00-MB CORRIDOR A.1 - Default Point</t>
        </is>
      </c>
      <c r="C46" s="7" t="n">
        <v>14</v>
      </c>
      <c r="D46" s="5" t="n">
        <v>50.39999771118164</v>
      </c>
      <c r="E46" s="6" t="n">
        <v>0</v>
      </c>
      <c r="F46" s="7" t="n">
        <v>200</v>
      </c>
      <c r="G46" s="8" t="n">
        <v>4.6867356300354</v>
      </c>
      <c r="H46" s="8" t="n">
        <v>-9.150456428527832</v>
      </c>
      <c r="I46" s="2" t="inlineStr">
        <is>
          <t>3523278b-d3bf-480a-b187-6cafcc39b90e</t>
        </is>
      </c>
      <c r="J46" s="2" t="inlineStr">
        <is>
          <t>f0f4d409-c2b4-42cf-a8a9-c9497aecb3f7</t>
        </is>
      </c>
      <c r="K46" s="3" t="inlineStr"/>
      <c r="L46" s="2" t="inlineStr">
        <is>
          <t>{"yMeters": 50.39999771118164}</t>
        </is>
      </c>
    </row>
    <row r="47">
      <c r="A47" s="2" t="inlineStr">
        <is>
          <t>b9d6e608-279d-4a82-adfe-30bc9feacee5</t>
        </is>
      </c>
      <c r="B47" s="3" t="inlineStr">
        <is>
          <t>PH1-L00-MB CORRIDOR A.2 - Default Point</t>
        </is>
      </c>
      <c r="C47" s="7" t="n">
        <v>11</v>
      </c>
      <c r="D47" s="5" t="n">
        <v>50.39999771118164</v>
      </c>
      <c r="E47" s="6" t="n">
        <v>0</v>
      </c>
      <c r="F47" s="7" t="n">
        <v>200</v>
      </c>
      <c r="G47" s="8" t="n">
        <v>4.621287822723389</v>
      </c>
      <c r="H47" s="8" t="n">
        <v>-42.80433654785156</v>
      </c>
      <c r="I47" s="2" t="inlineStr">
        <is>
          <t>469c4cd3-919d-4166-b23e-0e5ff948b567</t>
        </is>
      </c>
      <c r="J47" s="2" t="inlineStr">
        <is>
          <t>f0f4d409-c2b4-42cf-a8a9-c9497aecb3f7</t>
        </is>
      </c>
      <c r="K47" s="3" t="inlineStr"/>
      <c r="L47" s="2" t="inlineStr">
        <is>
          <t>{"yMeters": 50.39999771118164}</t>
        </is>
      </c>
    </row>
    <row r="48">
      <c r="A48" s="2" t="inlineStr">
        <is>
          <t>1bea1985-5e9d-441f-a21d-1cd130fd4818</t>
        </is>
      </c>
      <c r="B48" s="3" t="inlineStr">
        <is>
          <t>PH1-L00-MB CORRIDOR D.1 - Default Point</t>
        </is>
      </c>
      <c r="C48" s="7" t="n">
        <v>14</v>
      </c>
      <c r="D48" s="5" t="n">
        <v>50.39999771118164</v>
      </c>
      <c r="E48" s="6" t="n">
        <v>0</v>
      </c>
      <c r="F48" s="7" t="n">
        <v>200</v>
      </c>
      <c r="G48" s="8" t="n">
        <v>48.39897918701172</v>
      </c>
      <c r="H48" s="8" t="n">
        <v>-17.2630672454834</v>
      </c>
      <c r="I48" s="2" t="inlineStr">
        <is>
          <t>0adb30f9-ec26-4358-acdb-13e2efc7bfa0</t>
        </is>
      </c>
      <c r="J48" s="2" t="inlineStr">
        <is>
          <t>f0f4d409-c2b4-42cf-a8a9-c9497aecb3f7</t>
        </is>
      </c>
      <c r="K48" s="3" t="inlineStr"/>
      <c r="L48" s="2" t="inlineStr">
        <is>
          <t>{"yMeters": 50.39999771118164}</t>
        </is>
      </c>
    </row>
    <row r="49">
      <c r="A49" s="2" t="inlineStr">
        <is>
          <t>50d0d7df-9a5e-4fd1-a3b1-38df9cdc526e</t>
        </is>
      </c>
      <c r="B49" s="3" t="inlineStr">
        <is>
          <t>PH1-L00-MB CORRIDOR D.2 - Default Point</t>
        </is>
      </c>
      <c r="C49" s="7" t="n">
        <v>11</v>
      </c>
      <c r="D49" s="5" t="n">
        <v>50.39999771118164</v>
      </c>
      <c r="E49" s="6" t="n">
        <v>0</v>
      </c>
      <c r="F49" s="7" t="n">
        <v>200</v>
      </c>
      <c r="G49" s="8" t="n">
        <v>41.57902908325195</v>
      </c>
      <c r="H49" s="8" t="n">
        <v>-49.66904067993164</v>
      </c>
      <c r="I49" s="2" t="inlineStr">
        <is>
          <t>0c034176-3005-4baf-8da2-412639d300f0</t>
        </is>
      </c>
      <c r="J49" s="2" t="inlineStr">
        <is>
          <t>f0f4d409-c2b4-42cf-a8a9-c9497aecb3f7</t>
        </is>
      </c>
      <c r="K49" s="3" t="inlineStr"/>
      <c r="L49" s="2" t="inlineStr">
        <is>
          <t>{"yMeters": 50.39999771118164}</t>
        </is>
      </c>
    </row>
    <row r="50">
      <c r="A50" s="2" t="inlineStr">
        <is>
          <t>7937b44a-1419-48ec-b0bf-93c84cd200de</t>
        </is>
      </c>
      <c r="B50" s="3" t="inlineStr">
        <is>
          <t>PH1-L00-MB CORRIDOR FOH - Default Point</t>
        </is>
      </c>
      <c r="C50" s="7" t="n">
        <v>14</v>
      </c>
      <c r="D50" s="5" t="n">
        <v>50.39999771118164</v>
      </c>
      <c r="E50" s="6" t="n">
        <v>0</v>
      </c>
      <c r="F50" s="7" t="n">
        <v>200</v>
      </c>
      <c r="G50" s="8" t="n">
        <v>33.04918670654297</v>
      </c>
      <c r="H50" s="8" t="n">
        <v>-6.089416980743408</v>
      </c>
      <c r="I50" s="2" t="inlineStr">
        <is>
          <t>45830206-5d10-4cc3-a8cb-8b17b4a7db48</t>
        </is>
      </c>
      <c r="J50" s="2" t="inlineStr">
        <is>
          <t>f0f4d409-c2b4-42cf-a8a9-c9497aecb3f7</t>
        </is>
      </c>
      <c r="K50" s="3" t="inlineStr"/>
      <c r="L50" s="2" t="inlineStr">
        <is>
          <t>{"yMeters": 50.39999771118164}</t>
        </is>
      </c>
    </row>
    <row r="51">
      <c r="A51" s="2" t="inlineStr">
        <is>
          <t>7c92e21d-98b0-4cc4-9c76-da3040917048</t>
        </is>
      </c>
      <c r="B51" s="3" t="inlineStr">
        <is>
          <t>PH1-L00-MB CORRIDOR R1 - Default Point</t>
        </is>
      </c>
      <c r="C51" s="7" t="n">
        <v>13</v>
      </c>
      <c r="D51" s="5" t="n">
        <v>50.39999771118164</v>
      </c>
      <c r="E51" s="6" t="n">
        <v>0</v>
      </c>
      <c r="F51" s="7" t="n">
        <v>200</v>
      </c>
      <c r="G51" s="8" t="n">
        <v>18.7046012878418</v>
      </c>
      <c r="H51" s="8" t="n">
        <v>-49.36743545532227</v>
      </c>
      <c r="I51" s="2" t="inlineStr">
        <is>
          <t>8b2120ec-ba83-43f4-ab18-79a8495851d0</t>
        </is>
      </c>
      <c r="J51" s="2" t="inlineStr">
        <is>
          <t>f0f4d409-c2b4-42cf-a8a9-c9497aecb3f7</t>
        </is>
      </c>
      <c r="K51" s="3" t="inlineStr"/>
      <c r="L51" s="2" t="inlineStr">
        <is>
          <t>{"yMeters": 50.39999771118164}</t>
        </is>
      </c>
    </row>
    <row r="52">
      <c r="A52" s="2" t="inlineStr">
        <is>
          <t>178e0648-9055-419b-b70c-8f8e3890371d</t>
        </is>
      </c>
      <c r="B52" s="3" t="inlineStr">
        <is>
          <t>PH1-L00-MB DATAHALL 1.1 - Default Point</t>
        </is>
      </c>
      <c r="C52" s="7" t="n">
        <v>14</v>
      </c>
      <c r="D52" s="5" t="n">
        <v>50.39999771118164</v>
      </c>
      <c r="E52" s="6" t="n">
        <v>0</v>
      </c>
      <c r="F52" s="7" t="n">
        <v>200</v>
      </c>
      <c r="G52" s="8" t="n">
        <v>16.01043128967285</v>
      </c>
      <c r="H52" s="8" t="n">
        <v>-19.17771148681641</v>
      </c>
      <c r="I52" s="2" t="inlineStr">
        <is>
          <t>feabea65-3588-4d44-8a93-5373d4c083b7</t>
        </is>
      </c>
      <c r="J52" s="2" t="inlineStr">
        <is>
          <t>f0f4d409-c2b4-42cf-a8a9-c9497aecb3f7</t>
        </is>
      </c>
      <c r="K52" s="3" t="inlineStr"/>
      <c r="L52" s="2" t="inlineStr">
        <is>
          <t>{"yMeters": 50.39999771118164}</t>
        </is>
      </c>
    </row>
    <row r="53">
      <c r="A53" s="2" t="inlineStr">
        <is>
          <t>a361f5fc-c248-4dc6-865e-67d23a81ca6f</t>
        </is>
      </c>
      <c r="B53" s="3" t="inlineStr">
        <is>
          <t>PH1-L00-MB DATAHALL 1.2 - Default Point</t>
        </is>
      </c>
      <c r="C53" s="4" t="n">
        <v>0</v>
      </c>
      <c r="D53" s="5" t="n">
        <v>50.39999771118164</v>
      </c>
      <c r="E53" s="6" t="n">
        <v>0</v>
      </c>
      <c r="F53" s="7" t="n">
        <v>200</v>
      </c>
      <c r="G53" s="8" t="n">
        <v>15.85158443450928</v>
      </c>
      <c r="H53" s="8" t="n">
        <v>-37.64077758789062</v>
      </c>
      <c r="I53" s="2" t="inlineStr">
        <is>
          <t>906cefef-6f2e-4f32-ad97-26d2dd2fc21e</t>
        </is>
      </c>
      <c r="J53" s="2" t="inlineStr">
        <is>
          <t>f0f4d409-c2b4-42cf-a8a9-c9497aecb3f7</t>
        </is>
      </c>
      <c r="K53" s="3" t="inlineStr"/>
      <c r="L53" s="2" t="inlineStr">
        <is>
          <t>{"yMeters": 50.39999771118164}</t>
        </is>
      </c>
    </row>
    <row r="54">
      <c r="A54" s="2" t="inlineStr">
        <is>
          <t>81069c4a-e8fd-4450-8807-ab6a2dafdb50</t>
        </is>
      </c>
      <c r="B54" s="3" t="inlineStr">
        <is>
          <t>PH1-L00-MB DATAHALL 2.1 - Default Point</t>
        </is>
      </c>
      <c r="C54" s="7" t="n">
        <v>14</v>
      </c>
      <c r="D54" s="5" t="n">
        <v>50.39999771118164</v>
      </c>
      <c r="E54" s="6" t="n">
        <v>0</v>
      </c>
      <c r="F54" s="7" t="n">
        <v>200</v>
      </c>
      <c r="G54" s="8" t="n">
        <v>36.88038635253906</v>
      </c>
      <c r="H54" s="8" t="n">
        <v>-18.16691398620605</v>
      </c>
      <c r="I54" s="2" t="inlineStr">
        <is>
          <t>7b9fcc88-ee39-4404-ad1b-5e5e1dadb955</t>
        </is>
      </c>
      <c r="J54" s="2" t="inlineStr">
        <is>
          <t>f0f4d409-c2b4-42cf-a8a9-c9497aecb3f7</t>
        </is>
      </c>
      <c r="K54" s="3" t="inlineStr"/>
      <c r="L54" s="2" t="inlineStr">
        <is>
          <t>{"yMeters": 50.39999771118164}</t>
        </is>
      </c>
    </row>
    <row r="55">
      <c r="A55" s="2" t="inlineStr">
        <is>
          <t>a9e69adc-1248-4c7a-802c-02ae581381a6</t>
        </is>
      </c>
      <c r="B55" s="3" t="inlineStr">
        <is>
          <t>PH1-L00-MB DATAHALL 2.2 - Default Point</t>
        </is>
      </c>
      <c r="C55" s="4" t="n">
        <v>0</v>
      </c>
      <c r="D55" s="5" t="n">
        <v>50.39999771118164</v>
      </c>
      <c r="E55" s="6" t="n">
        <v>0</v>
      </c>
      <c r="F55" s="7" t="n">
        <v>200</v>
      </c>
      <c r="G55" s="8" t="n">
        <v>37.47554779052734</v>
      </c>
      <c r="H55" s="8" t="n">
        <v>-37.35050201416016</v>
      </c>
      <c r="I55" s="2" t="inlineStr">
        <is>
          <t>5248e2a5-8ca3-43e5-8154-cdc98300b565</t>
        </is>
      </c>
      <c r="J55" s="2" t="inlineStr">
        <is>
          <t>f0f4d409-c2b4-42cf-a8a9-c9497aecb3f7</t>
        </is>
      </c>
      <c r="K55" s="3" t="inlineStr"/>
      <c r="L55" s="2" t="inlineStr">
        <is>
          <t>{"yMeters": 50.39999771118164}</t>
        </is>
      </c>
    </row>
    <row r="56">
      <c r="A56" s="2" t="inlineStr">
        <is>
          <t>888b7942-34d7-414e-9579-21220d31ef6a</t>
        </is>
      </c>
      <c r="B56" s="3" t="inlineStr">
        <is>
          <t>PH1-L00-MB EWALL TRANSFORMER  A - Default Point</t>
        </is>
      </c>
      <c r="C56" s="7" t="n">
        <v>5</v>
      </c>
      <c r="D56" s="5" t="n">
        <v>50.39999771118164</v>
      </c>
      <c r="E56" s="6" t="n">
        <v>0</v>
      </c>
      <c r="F56" s="7" t="n">
        <v>200</v>
      </c>
      <c r="G56" s="8" t="n">
        <v>1.951249241828918</v>
      </c>
      <c r="H56" s="8" t="n">
        <v>-38.11483001708984</v>
      </c>
      <c r="I56" s="2" t="inlineStr">
        <is>
          <t>8cf97011-1ef9-4c26-86ff-8572e99a1186</t>
        </is>
      </c>
      <c r="J56" s="2" t="inlineStr">
        <is>
          <t>f0f4d409-c2b4-42cf-a8a9-c9497aecb3f7</t>
        </is>
      </c>
      <c r="K56" s="3" t="inlineStr"/>
      <c r="L56" s="2" t="inlineStr">
        <is>
          <t>{"yMeters": 50.39999771118164}</t>
        </is>
      </c>
    </row>
    <row r="57">
      <c r="A57" s="2" t="inlineStr">
        <is>
          <t>61fbe685-25df-4c1c-8557-0cda7d7bb51e</t>
        </is>
      </c>
      <c r="B57" s="3" t="inlineStr">
        <is>
          <t>PH1-L00-MB EWALL TRANSFORMER D - Default Point</t>
        </is>
      </c>
      <c r="C57" s="7" t="n">
        <v>8</v>
      </c>
      <c r="D57" s="5" t="n">
        <v>50.39999771118164</v>
      </c>
      <c r="E57" s="6" t="n">
        <v>0</v>
      </c>
      <c r="F57" s="7" t="n">
        <v>200</v>
      </c>
      <c r="G57" s="8" t="n">
        <v>51.31182098388672</v>
      </c>
      <c r="H57" s="8" t="n">
        <v>-7.504557132720947</v>
      </c>
      <c r="I57" s="2" t="inlineStr">
        <is>
          <t>c959ec9c-95e6-4622-8c37-7814a1ebd38d</t>
        </is>
      </c>
      <c r="J57" s="2" t="inlineStr">
        <is>
          <t>f0f4d409-c2b4-42cf-a8a9-c9497aecb3f7</t>
        </is>
      </c>
      <c r="K57" s="3" t="inlineStr"/>
      <c r="L57" s="2" t="inlineStr">
        <is>
          <t>{"yMeters": 50.39999771118164}</t>
        </is>
      </c>
    </row>
    <row r="58">
      <c r="A58" s="2" t="inlineStr">
        <is>
          <t>340ad7c1-2f22-47a3-8fbe-7609252b027b</t>
        </is>
      </c>
      <c r="B58" s="3" t="inlineStr">
        <is>
          <t>PH1-L00-MB FIBRE ENTRY ROOM 02 - Default Point</t>
        </is>
      </c>
      <c r="C58" s="7" t="n">
        <v>5</v>
      </c>
      <c r="D58" s="5" t="n">
        <v>50.39999771118164</v>
      </c>
      <c r="E58" s="6" t="n">
        <v>0</v>
      </c>
      <c r="F58" s="7" t="n">
        <v>200</v>
      </c>
      <c r="G58" s="8" t="n">
        <v>51.3983268737793</v>
      </c>
      <c r="H58" s="8" t="n">
        <v>-45.46639251708984</v>
      </c>
      <c r="I58" s="2" t="inlineStr">
        <is>
          <t>cec5063a-9ad0-4238-8d3d-841f904cee5a</t>
        </is>
      </c>
      <c r="J58" s="2" t="inlineStr">
        <is>
          <t>f0f4d409-c2b4-42cf-a8a9-c9497aecb3f7</t>
        </is>
      </c>
      <c r="K58" s="3" t="inlineStr"/>
      <c r="L58" s="2" t="inlineStr">
        <is>
          <t>{"yMeters": 50.39999771118164}</t>
        </is>
      </c>
    </row>
    <row r="59">
      <c r="A59" s="2" t="inlineStr">
        <is>
          <t>f0727c6d-ba76-42b7-9c80-3d44f007ce3c</t>
        </is>
      </c>
      <c r="B59" s="3" t="inlineStr">
        <is>
          <t>PH1-L00-MB FIBRE ENTRY ROOM 1 - Default Point</t>
        </is>
      </c>
      <c r="C59" s="7" t="n">
        <v>7</v>
      </c>
      <c r="D59" s="5" t="n">
        <v>50.39999771118164</v>
      </c>
      <c r="E59" s="6" t="n">
        <v>0</v>
      </c>
      <c r="F59" s="7" t="n">
        <v>200</v>
      </c>
      <c r="G59" s="8" t="n">
        <v>4.366304397583008</v>
      </c>
      <c r="H59" s="8" t="n">
        <v>-1.655582666397095</v>
      </c>
      <c r="I59" s="2" t="inlineStr">
        <is>
          <t>fc9f0629-55b2-45f3-8e17-7f587fd39711</t>
        </is>
      </c>
      <c r="J59" s="2" t="inlineStr">
        <is>
          <t>f0f4d409-c2b4-42cf-a8a9-c9497aecb3f7</t>
        </is>
      </c>
      <c r="K59" s="3" t="inlineStr"/>
      <c r="L59" s="2" t="inlineStr">
        <is>
          <t>{"yMeters": 50.39999771118164}</t>
        </is>
      </c>
    </row>
    <row r="60">
      <c r="A60" s="2" t="inlineStr">
        <is>
          <t>c563afab-4803-42fc-852a-6dc80e48ab91</t>
        </is>
      </c>
      <c r="B60" s="3" t="inlineStr">
        <is>
          <t>PH1-L00-MB FIBRE ENTRY ROOM 4 - Default Point</t>
        </is>
      </c>
      <c r="C60" s="7" t="n">
        <v>36</v>
      </c>
      <c r="D60" s="5" t="n">
        <v>50.39999771118164</v>
      </c>
      <c r="E60" s="6" t="n">
        <v>0</v>
      </c>
      <c r="F60" s="7" t="n">
        <v>200</v>
      </c>
      <c r="G60" s="8" t="n">
        <v>105.106086730957</v>
      </c>
      <c r="H60" s="8" t="n">
        <v>-2.424418449401855</v>
      </c>
      <c r="I60" s="2" t="inlineStr">
        <is>
          <t>3e40d4ac-8115-4ff1-9174-a567b94c8f29</t>
        </is>
      </c>
      <c r="J60" s="2" t="inlineStr">
        <is>
          <t>f0f4d409-c2b4-42cf-a8a9-c9497aecb3f7</t>
        </is>
      </c>
      <c r="K60" s="3" t="inlineStr"/>
      <c r="L60" s="2" t="inlineStr">
        <is>
          <t>{"yMeters": 50.39999771118164}</t>
        </is>
      </c>
    </row>
    <row r="61">
      <c r="A61" s="2" t="inlineStr">
        <is>
          <t>8f45fa98-3946-463f-af92-10bc7b256fb3</t>
        </is>
      </c>
      <c r="B61" s="3" t="inlineStr">
        <is>
          <t>PH1-L00-MB MSB_A - Default Point</t>
        </is>
      </c>
      <c r="C61" s="7" t="n">
        <v>24</v>
      </c>
      <c r="D61" s="5" t="n">
        <v>50.39999771118164</v>
      </c>
      <c r="E61" s="6" t="n">
        <v>0</v>
      </c>
      <c r="F61" s="7" t="n">
        <v>200</v>
      </c>
      <c r="G61" s="8" t="n">
        <v>1.725074648857117</v>
      </c>
      <c r="H61" s="8" t="n">
        <v>-24.42397117614746</v>
      </c>
      <c r="I61" s="2" t="inlineStr">
        <is>
          <t>f4fd1f66-e69b-4d7e-9f7e-e07b6051564e</t>
        </is>
      </c>
      <c r="J61" s="2" t="inlineStr">
        <is>
          <t>f0f4d409-c2b4-42cf-a8a9-c9497aecb3f7</t>
        </is>
      </c>
      <c r="K61" s="3" t="inlineStr"/>
      <c r="L61" s="2" t="inlineStr">
        <is>
          <t>{"yMeters": 50.39999771118164}</t>
        </is>
      </c>
    </row>
    <row r="62">
      <c r="A62" s="2" t="inlineStr">
        <is>
          <t>a664be9b-b007-4695-8db6-26846781fd6d</t>
        </is>
      </c>
      <c r="B62" s="3" t="inlineStr">
        <is>
          <t>PH1-L00-MB MSB_D - Default Point</t>
        </is>
      </c>
      <c r="C62" s="7" t="n">
        <v>22</v>
      </c>
      <c r="D62" s="5" t="n">
        <v>50.39999771118164</v>
      </c>
      <c r="E62" s="6" t="n">
        <v>0</v>
      </c>
      <c r="F62" s="7" t="n">
        <v>200</v>
      </c>
      <c r="G62" s="8" t="n">
        <v>50.68601608276367</v>
      </c>
      <c r="H62" s="8" t="n">
        <v>-21.04631614685059</v>
      </c>
      <c r="I62" s="2" t="inlineStr">
        <is>
          <t>b0972335-a333-41ac-9d00-631404c190aa</t>
        </is>
      </c>
      <c r="J62" s="2" t="inlineStr">
        <is>
          <t>f0f4d409-c2b4-42cf-a8a9-c9497aecb3f7</t>
        </is>
      </c>
      <c r="K62" s="3" t="inlineStr"/>
      <c r="L62" s="2" t="inlineStr">
        <is>
          <t>{"yMeters": 50.39999771118164}</t>
        </is>
      </c>
    </row>
    <row r="63">
      <c r="A63" s="2" t="inlineStr">
        <is>
          <t>d8404a43-e229-4894-a821-fae6ca9cdd33</t>
        </is>
      </c>
      <c r="B63" s="3" t="inlineStr">
        <is>
          <t>PH1-L00-MB NETWORK ENTRY 1 - Default Point</t>
        </is>
      </c>
      <c r="C63" s="7" t="n">
        <v>6</v>
      </c>
      <c r="D63" s="5" t="n">
        <v>50.39999771118164</v>
      </c>
      <c r="E63" s="6" t="n">
        <v>0</v>
      </c>
      <c r="F63" s="7" t="n">
        <v>200</v>
      </c>
      <c r="G63" s="8" t="n">
        <v>12.17036056518555</v>
      </c>
      <c r="H63" s="8" t="n">
        <v>-1.900309681892395</v>
      </c>
      <c r="I63" s="2" t="inlineStr">
        <is>
          <t>157a8d27-824c-45ac-a580-c120fcb39fb1</t>
        </is>
      </c>
      <c r="J63" s="2" t="inlineStr">
        <is>
          <t>f0f4d409-c2b4-42cf-a8a9-c9497aecb3f7</t>
        </is>
      </c>
      <c r="K63" s="3" t="inlineStr"/>
      <c r="L63" s="2" t="inlineStr">
        <is>
          <t>{"yMeters": 50.39999771118164}</t>
        </is>
      </c>
    </row>
    <row r="64">
      <c r="A64" s="2" t="inlineStr">
        <is>
          <t>187421b1-6769-4897-97b2-eac4a2196f97</t>
        </is>
      </c>
      <c r="B64" s="3" t="inlineStr">
        <is>
          <t>PH1-L00-MB NETWORK ENTRY 2 - Default Point</t>
        </is>
      </c>
      <c r="C64" s="7" t="n">
        <v>34</v>
      </c>
      <c r="D64" s="5" t="n">
        <v>50.39999771118164</v>
      </c>
      <c r="E64" s="6" t="n">
        <v>0</v>
      </c>
      <c r="F64" s="7" t="n">
        <v>200</v>
      </c>
      <c r="G64" s="8" t="n">
        <v>98.50307464599609</v>
      </c>
      <c r="H64" s="8" t="n">
        <v>-1.724742412567139</v>
      </c>
      <c r="I64" s="2" t="inlineStr">
        <is>
          <t>be2216aa-516d-4257-aef6-86910ec45d13</t>
        </is>
      </c>
      <c r="J64" s="2" t="inlineStr">
        <is>
          <t>f0f4d409-c2b4-42cf-a8a9-c9497aecb3f7</t>
        </is>
      </c>
      <c r="K64" s="3" t="inlineStr"/>
      <c r="L64" s="2" t="inlineStr">
        <is>
          <t>{"yMeters": 50.39999771118164}</t>
        </is>
      </c>
    </row>
    <row r="65">
      <c r="A65" s="2" t="inlineStr">
        <is>
          <t>38cfd133-9987-4337-b65b-7ed03d49e0d3</t>
        </is>
      </c>
      <c r="B65" s="3" t="inlineStr">
        <is>
          <t>PH1-L00-MB PRIMARY COP_A - Default Point</t>
        </is>
      </c>
      <c r="C65" s="7" t="n">
        <v>14</v>
      </c>
      <c r="D65" s="5" t="n">
        <v>50.39999771118164</v>
      </c>
      <c r="E65" s="6" t="n">
        <v>0</v>
      </c>
      <c r="F65" s="7" t="n">
        <v>200</v>
      </c>
      <c r="G65" s="8" t="n">
        <v>1.756029963493347</v>
      </c>
      <c r="H65" s="8" t="n">
        <v>-15.41178607940674</v>
      </c>
      <c r="I65" s="2" t="inlineStr">
        <is>
          <t>0c95c6e6-735c-4648-9bc1-a43f9d386658</t>
        </is>
      </c>
      <c r="J65" s="2" t="inlineStr">
        <is>
          <t>f0f4d409-c2b4-42cf-a8a9-c9497aecb3f7</t>
        </is>
      </c>
      <c r="K65" s="3" t="inlineStr"/>
      <c r="L65" s="2" t="inlineStr">
        <is>
          <t>{"yMeters": 50.39999771118164}</t>
        </is>
      </c>
    </row>
    <row r="66">
      <c r="A66" s="2" t="inlineStr">
        <is>
          <t>c09c5097-b686-450d-9d18-8c028ed141a2</t>
        </is>
      </c>
      <c r="B66" s="3" t="inlineStr">
        <is>
          <t>PH1-L00-MB PRIMARY COP_D - Default Point</t>
        </is>
      </c>
      <c r="C66" s="7" t="n">
        <v>14</v>
      </c>
      <c r="D66" s="5" t="n">
        <v>50.39999771118164</v>
      </c>
      <c r="E66" s="6" t="n">
        <v>0</v>
      </c>
      <c r="F66" s="7" t="n">
        <v>200</v>
      </c>
      <c r="G66" s="8" t="n">
        <v>50.9616584777832</v>
      </c>
      <c r="H66" s="8" t="n">
        <v>-30.25308799743652</v>
      </c>
      <c r="I66" s="2" t="inlineStr">
        <is>
          <t>ee10e144-cb7f-47bc-9b68-15857d5834a2</t>
        </is>
      </c>
      <c r="J66" s="2" t="inlineStr">
        <is>
          <t>f0f4d409-c2b4-42cf-a8a9-c9497aecb3f7</t>
        </is>
      </c>
      <c r="K66" s="3" t="inlineStr"/>
      <c r="L66" s="2" t="inlineStr">
        <is>
          <t>{"yMeters": 50.39999771118164}</t>
        </is>
      </c>
    </row>
    <row r="67">
      <c r="A67" s="2" t="inlineStr">
        <is>
          <t>36e87ba9-a2b9-4ca0-b0b1-cc1d7dea57dc</t>
        </is>
      </c>
      <c r="B67" s="3" t="inlineStr">
        <is>
          <t>PH1-L00-MB SECONDARY COP_A - Default Point</t>
        </is>
      </c>
      <c r="C67" s="7" t="n">
        <v>14</v>
      </c>
      <c r="D67" s="5" t="n">
        <v>50.39999771118164</v>
      </c>
      <c r="E67" s="6" t="n">
        <v>0</v>
      </c>
      <c r="F67" s="7" t="n">
        <v>200</v>
      </c>
      <c r="G67" s="8" t="n">
        <v>1.543327927589417</v>
      </c>
      <c r="H67" s="8" t="n">
        <v>-9.63731575012207</v>
      </c>
      <c r="I67" s="2" t="inlineStr">
        <is>
          <t>d21e1c06-d41b-4122-a817-c5924d2ef1a8</t>
        </is>
      </c>
      <c r="J67" s="2" t="inlineStr">
        <is>
          <t>f0f4d409-c2b4-42cf-a8a9-c9497aecb3f7</t>
        </is>
      </c>
      <c r="K67" s="3" t="inlineStr"/>
      <c r="L67" s="2" t="inlineStr">
        <is>
          <t>{"yMeters": 50.39999771118164}</t>
        </is>
      </c>
    </row>
    <row r="68">
      <c r="A68" s="2" t="inlineStr">
        <is>
          <t>d2782473-ccf2-4eb9-8a6f-1a3526c9ba1d</t>
        </is>
      </c>
      <c r="B68" s="3" t="inlineStr">
        <is>
          <t>PH1-L00-MB SECONDARY COP_D - Default Point</t>
        </is>
      </c>
      <c r="C68" s="7" t="n">
        <v>12</v>
      </c>
      <c r="D68" s="5" t="n">
        <v>50.39999771118164</v>
      </c>
      <c r="E68" s="6" t="n">
        <v>0</v>
      </c>
      <c r="F68" s="7" t="n">
        <v>200</v>
      </c>
      <c r="G68" s="8" t="n">
        <v>51.1795539855957</v>
      </c>
      <c r="H68" s="8" t="n">
        <v>-37.67271423339844</v>
      </c>
      <c r="I68" s="2" t="inlineStr">
        <is>
          <t>aa4f3fed-65ca-459e-8523-5817a6678436</t>
        </is>
      </c>
      <c r="J68" s="2" t="inlineStr">
        <is>
          <t>f0f4d409-c2b4-42cf-a8a9-c9497aecb3f7</t>
        </is>
      </c>
      <c r="K68" s="3" t="inlineStr"/>
      <c r="L68" s="2" t="inlineStr">
        <is>
          <t>{"yMeters": 50.39999771118164}</t>
        </is>
      </c>
    </row>
    <row r="69">
      <c r="A69" s="2" t="inlineStr">
        <is>
          <t>f5e2eef5-af47-4e89-8d65-8e486dab5f78</t>
        </is>
      </c>
      <c r="B69" s="3" t="inlineStr">
        <is>
          <t>PH1-L00-MB SPRINKLER VALVE ROOM 01 - Default Point</t>
        </is>
      </c>
      <c r="C69" s="7" t="n">
        <v>5</v>
      </c>
      <c r="D69" s="5" t="n">
        <v>50.39999771118164</v>
      </c>
      <c r="E69" s="6" t="n">
        <v>0</v>
      </c>
      <c r="F69" s="7" t="n">
        <v>200</v>
      </c>
      <c r="G69" s="8" t="n">
        <v>51.29632568359375</v>
      </c>
      <c r="H69" s="8" t="n">
        <v>-49.6593017578125</v>
      </c>
      <c r="I69" s="2" t="inlineStr">
        <is>
          <t>1710f1b3-329d-46db-8977-020d33467de6</t>
        </is>
      </c>
      <c r="J69" s="2" t="inlineStr">
        <is>
          <t>f0f4d409-c2b4-42cf-a8a9-c9497aecb3f7</t>
        </is>
      </c>
      <c r="K69" s="3" t="inlineStr"/>
      <c r="L69" s="2" t="inlineStr">
        <is>
          <t>{"yMeters": 50.39999771118164}</t>
        </is>
      </c>
    </row>
    <row r="70">
      <c r="A70" s="2" t="inlineStr">
        <is>
          <t>1c54394a-9f33-430e-a418-cd7dbec647dc</t>
        </is>
      </c>
      <c r="B70" s="3" t="inlineStr">
        <is>
          <t>PH1-L00-MB STAIRS EAST 2C - Default Point</t>
        </is>
      </c>
      <c r="C70" s="4" t="n">
        <v>0</v>
      </c>
      <c r="D70" s="5" t="n">
        <v>50.39999771118164</v>
      </c>
      <c r="E70" s="6" t="n">
        <v>0</v>
      </c>
      <c r="F70" s="7" t="n">
        <v>200</v>
      </c>
      <c r="G70" s="8" t="n">
        <v>108.7594375610352</v>
      </c>
      <c r="H70" s="8" t="n">
        <v>-42.37956237792969</v>
      </c>
      <c r="I70" s="2" t="inlineStr">
        <is>
          <t>0e7d1595-1c6a-4f1e-9f8e-ef5566371392</t>
        </is>
      </c>
      <c r="J70" s="2" t="inlineStr">
        <is>
          <t>f0f4d409-c2b4-42cf-a8a9-c9497aecb3f7</t>
        </is>
      </c>
      <c r="K70" s="3" t="inlineStr"/>
      <c r="L70" s="2" t="inlineStr">
        <is>
          <t>{"yMeters": 50.39999771118164}</t>
        </is>
      </c>
    </row>
    <row r="71">
      <c r="A71" s="2" t="inlineStr">
        <is>
          <t>6a28416c-f78e-4d0d-a5b6-c212661a1b95</t>
        </is>
      </c>
      <c r="B71" s="3" t="inlineStr">
        <is>
          <t>PH1-L00-MB STAIRS WEST 1C - Default Point</t>
        </is>
      </c>
      <c r="C71" s="4" t="n">
        <v>0</v>
      </c>
      <c r="D71" s="5" t="n">
        <v>50.39999771118164</v>
      </c>
      <c r="E71" s="6" t="n">
        <v>0</v>
      </c>
      <c r="F71" s="7" t="n">
        <v>200</v>
      </c>
      <c r="G71" s="8" t="n">
        <v>1.29657518863678</v>
      </c>
      <c r="H71" s="8" t="n">
        <v>-43.27948379516602</v>
      </c>
      <c r="I71" s="2" t="inlineStr">
        <is>
          <t>1ea61a64-35fd-465a-be6b-c9564bbc8f46</t>
        </is>
      </c>
      <c r="J71" s="2" t="inlineStr">
        <is>
          <t>f0f4d409-c2b4-42cf-a8a9-c9497aecb3f7</t>
        </is>
      </c>
      <c r="K71" s="3" t="inlineStr"/>
      <c r="L71" s="2" t="inlineStr">
        <is>
          <t>{"yMeters": 50.39999771118164}</t>
        </is>
      </c>
    </row>
    <row r="72">
      <c r="A72" s="2" t="inlineStr">
        <is>
          <t>f9a4ae5c-0677-4727-a195-fabcd3ebb391</t>
        </is>
      </c>
      <c r="B72" s="3" t="inlineStr">
        <is>
          <t>PH1-L00-MB WATER PUMP ROOM 01 - Default Point</t>
        </is>
      </c>
      <c r="C72" s="7" t="n">
        <v>5</v>
      </c>
      <c r="D72" s="5" t="n">
        <v>50.39999771118164</v>
      </c>
      <c r="E72" s="6" t="n">
        <v>0</v>
      </c>
      <c r="F72" s="7" t="n">
        <v>200</v>
      </c>
      <c r="G72" s="8" t="n">
        <v>1.82687246799469</v>
      </c>
      <c r="H72" s="8" t="n">
        <v>-47.9395751953125</v>
      </c>
      <c r="I72" s="2" t="inlineStr">
        <is>
          <t>05b43838-4085-4963-9918-8900a5aea276</t>
        </is>
      </c>
      <c r="J72" s="2" t="inlineStr">
        <is>
          <t>f0f4d409-c2b4-42cf-a8a9-c9497aecb3f7</t>
        </is>
      </c>
      <c r="K72" s="3" t="inlineStr"/>
      <c r="L72" s="2" t="inlineStr">
        <is>
          <t>{"yMeters": 50.39999771118164}</t>
        </is>
      </c>
    </row>
    <row r="73">
      <c r="A73" s="2" t="inlineStr">
        <is>
          <t>f1cc70d0-1910-4860-9424-fe48cf4b1f12</t>
        </is>
      </c>
      <c r="B73" s="3" t="inlineStr">
        <is>
          <t>PH2-L00-MB BBU STORAGE H - Default Point</t>
        </is>
      </c>
      <c r="C73" s="7" t="n">
        <v>31</v>
      </c>
      <c r="D73" s="5" t="n">
        <v>50.39999771118164</v>
      </c>
      <c r="E73" s="6" t="n">
        <v>0</v>
      </c>
      <c r="F73" s="7" t="n">
        <v>200</v>
      </c>
      <c r="G73" s="8" t="n">
        <v>59.30464172363281</v>
      </c>
      <c r="H73" s="8" t="n">
        <v>-32.31936264038086</v>
      </c>
      <c r="I73" s="2" t="inlineStr">
        <is>
          <t>4c4bd6eb-e6f8-4f68-b640-1ba0544ad4f0</t>
        </is>
      </c>
      <c r="J73" s="2" t="inlineStr">
        <is>
          <t>f0f4d409-c2b4-42cf-a8a9-c9497aecb3f7</t>
        </is>
      </c>
      <c r="K73" s="3" t="inlineStr"/>
      <c r="L73" s="2" t="inlineStr">
        <is>
          <t>{"yMeters": 50.39999771118164}</t>
        </is>
      </c>
    </row>
    <row r="74">
      <c r="A74" s="2" t="inlineStr">
        <is>
          <t>9fc55c5d-954c-404c-bc0a-03bab8431b6a</t>
        </is>
      </c>
      <c r="B74" s="3" t="inlineStr">
        <is>
          <t>PH2-L00-MB BBU STORAGE K - Default Point</t>
        </is>
      </c>
      <c r="C74" s="7" t="n">
        <v>33</v>
      </c>
      <c r="D74" s="5" t="n">
        <v>50.39999771118164</v>
      </c>
      <c r="E74" s="6" t="n">
        <v>0</v>
      </c>
      <c r="F74" s="7" t="n">
        <v>200</v>
      </c>
      <c r="G74" s="8" t="n">
        <v>109.1672744750977</v>
      </c>
      <c r="H74" s="8" t="n">
        <v>-12.794020652771</v>
      </c>
      <c r="I74" s="2" t="inlineStr">
        <is>
          <t>0abf4dcb-0e8d-405f-a080-2e545806beae</t>
        </is>
      </c>
      <c r="J74" s="2" t="inlineStr">
        <is>
          <t>f0f4d409-c2b4-42cf-a8a9-c9497aecb3f7</t>
        </is>
      </c>
      <c r="K74" s="3" t="inlineStr"/>
      <c r="L74" s="2" t="inlineStr">
        <is>
          <t>{"yMeters": 50.39999771118164}</t>
        </is>
      </c>
    </row>
    <row r="75">
      <c r="A75" s="2" t="inlineStr">
        <is>
          <t>25a94c73-5c6d-4500-9984-155ccc8181f1</t>
        </is>
      </c>
      <c r="B75" s="3" t="inlineStr">
        <is>
          <t>PH2-L00-MB CATCHER BATTERY R2 - Default Point</t>
        </is>
      </c>
      <c r="C75" s="7" t="n">
        <v>21</v>
      </c>
      <c r="D75" s="5" t="n">
        <v>50.39999771118164</v>
      </c>
      <c r="E75" s="6" t="n">
        <v>0</v>
      </c>
      <c r="F75" s="7" t="n">
        <v>200</v>
      </c>
      <c r="G75" s="8" t="n">
        <v>76.87929534912109</v>
      </c>
      <c r="H75" s="8" t="n">
        <v>-52.89931488037109</v>
      </c>
      <c r="I75" s="2" t="inlineStr">
        <is>
          <t>cb3e53e6-da23-48bf-9aca-aa0b6ba7513b</t>
        </is>
      </c>
      <c r="J75" s="2" t="inlineStr">
        <is>
          <t>f0f4d409-c2b4-42cf-a8a9-c9497aecb3f7</t>
        </is>
      </c>
      <c r="K75" s="3" t="inlineStr"/>
      <c r="L75" s="2" t="inlineStr">
        <is>
          <t>{"yMeters": 50.39999771118164}</t>
        </is>
      </c>
    </row>
    <row r="76">
      <c r="A76" s="2" t="inlineStr">
        <is>
          <t>34dc985b-811f-4b96-8afd-319d2e3c3845</t>
        </is>
      </c>
      <c r="B76" s="3" t="inlineStr">
        <is>
          <t>PH2-L00-MB CATCHER TRANSFORMER R2 - Default Point</t>
        </is>
      </c>
      <c r="C76" s="7" t="n">
        <v>23</v>
      </c>
      <c r="D76" s="5" t="n">
        <v>50.39999771118164</v>
      </c>
      <c r="E76" s="6" t="n">
        <v>0</v>
      </c>
      <c r="F76" s="7" t="n">
        <v>200</v>
      </c>
      <c r="G76" s="8" t="n">
        <v>73.09458923339844</v>
      </c>
      <c r="H76" s="8" t="n">
        <v>-52.81613540649414</v>
      </c>
      <c r="I76" s="2" t="inlineStr">
        <is>
          <t>a2d6aa34-1b24-435e-8385-1f24b03a6a27</t>
        </is>
      </c>
      <c r="J76" s="2" t="inlineStr">
        <is>
          <t>f0f4d409-c2b4-42cf-a8a9-c9497aecb3f7</t>
        </is>
      </c>
      <c r="K76" s="3" t="inlineStr"/>
      <c r="L76" s="2" t="inlineStr">
        <is>
          <t>{"yMeters": 50.39999771118164}</t>
        </is>
      </c>
    </row>
    <row r="77">
      <c r="A77" s="2" t="inlineStr">
        <is>
          <t>fa989e2a-eff8-4aa3-8659-aa866445761f</t>
        </is>
      </c>
      <c r="B77" s="3" t="inlineStr">
        <is>
          <t>PH2-L00-MB CATCHER UPS R2 - Default Point</t>
        </is>
      </c>
      <c r="C77" s="7" t="n">
        <v>31</v>
      </c>
      <c r="D77" s="5" t="n">
        <v>50.39999771118164</v>
      </c>
      <c r="E77" s="6" t="n">
        <v>0</v>
      </c>
      <c r="F77" s="7" t="n">
        <v>200</v>
      </c>
      <c r="G77" s="8" t="n">
        <v>89.64749908447266</v>
      </c>
      <c r="H77" s="8" t="n">
        <v>-53.10726547241211</v>
      </c>
      <c r="I77" s="2" t="inlineStr">
        <is>
          <t>67862a10-7f1b-4c97-9e8c-2763d0200068</t>
        </is>
      </c>
      <c r="J77" s="2" t="inlineStr">
        <is>
          <t>f0f4d409-c2b4-42cf-a8a9-c9497aecb3f7</t>
        </is>
      </c>
      <c r="K77" s="3" t="inlineStr"/>
      <c r="L77" s="2" t="inlineStr">
        <is>
          <t>{"yMeters": 50.39999771118164}</t>
        </is>
      </c>
    </row>
    <row r="78">
      <c r="A78" s="2" t="inlineStr">
        <is>
          <t>aa8ebbec-f013-4778-9c91-ef4f3a4d743a</t>
        </is>
      </c>
      <c r="B78" s="3" t="inlineStr">
        <is>
          <t>PH2-L00-MB CENTRAL CORRIDOR EAST - Default Point</t>
        </is>
      </c>
      <c r="C78" s="7" t="n">
        <v>40</v>
      </c>
      <c r="D78" s="5" t="n">
        <v>50.39999771118164</v>
      </c>
      <c r="E78" s="6" t="n">
        <v>0</v>
      </c>
      <c r="F78" s="7" t="n">
        <v>200</v>
      </c>
      <c r="G78" s="8" t="n">
        <v>85.11009216308594</v>
      </c>
      <c r="H78" s="8" t="n">
        <v>-32.45312118530273</v>
      </c>
      <c r="I78" s="2" t="inlineStr">
        <is>
          <t>bfd67772-978c-4dd1-931c-7b3de08e654b</t>
        </is>
      </c>
      <c r="J78" s="2" t="inlineStr">
        <is>
          <t>f0f4d409-c2b4-42cf-a8a9-c9497aecb3f7</t>
        </is>
      </c>
      <c r="K78" s="3" t="inlineStr"/>
      <c r="L78" s="2" t="inlineStr">
        <is>
          <t>{"yMeters": 50.39999771118164}</t>
        </is>
      </c>
    </row>
    <row r="79">
      <c r="A79" s="2" t="inlineStr">
        <is>
          <t>0f2c6821-a8d2-48e5-9c59-67023a2029e1</t>
        </is>
      </c>
      <c r="B79" s="3" t="inlineStr">
        <is>
          <t>PH2-L00-MB CENTRAL CORRIDOR WEST - Default Point</t>
        </is>
      </c>
      <c r="C79" s="7" t="n">
        <v>8</v>
      </c>
      <c r="D79" s="5" t="n">
        <v>50.39999771118164</v>
      </c>
      <c r="E79" s="6" t="n">
        <v>0</v>
      </c>
      <c r="F79" s="7" t="n">
        <v>200</v>
      </c>
      <c r="G79" s="8" t="n">
        <v>82.98065948486328</v>
      </c>
      <c r="H79" s="8" t="n">
        <v>-24.53739929199219</v>
      </c>
      <c r="I79" s="2" t="inlineStr">
        <is>
          <t>bbff133c-ff87-4135-a245-6319b6d62a04</t>
        </is>
      </c>
      <c r="J79" s="2" t="inlineStr">
        <is>
          <t>f0f4d409-c2b4-42cf-a8a9-c9497aecb3f7</t>
        </is>
      </c>
      <c r="K79" s="3" t="inlineStr"/>
      <c r="L79" s="2" t="inlineStr">
        <is>
          <t>{"yMeters": 50.39999771118164}</t>
        </is>
      </c>
    </row>
    <row r="80">
      <c r="A80" s="2" t="inlineStr">
        <is>
          <t>3f179c51-976f-474a-bf71-57b2f9945462</t>
        </is>
      </c>
      <c r="B80" s="3" t="inlineStr">
        <is>
          <t>PH2-L00-MB CICO ROOM 3 - Default Point</t>
        </is>
      </c>
      <c r="C80" s="7" t="n">
        <v>5</v>
      </c>
      <c r="D80" s="5" t="n">
        <v>50.39999771118164</v>
      </c>
      <c r="E80" s="6" t="n">
        <v>0</v>
      </c>
      <c r="F80" s="7" t="n">
        <v>200</v>
      </c>
      <c r="G80" s="8" t="n">
        <v>64.98760223388672</v>
      </c>
      <c r="H80" s="8" t="n">
        <v>-9.014660835266113</v>
      </c>
      <c r="I80" s="2" t="inlineStr">
        <is>
          <t>7dddabf9-3538-4e5e-8730-105919594ff2</t>
        </is>
      </c>
      <c r="J80" s="2" t="inlineStr">
        <is>
          <t>f0f4d409-c2b4-42cf-a8a9-c9497aecb3f7</t>
        </is>
      </c>
      <c r="K80" s="3" t="inlineStr"/>
      <c r="L80" s="2" t="inlineStr">
        <is>
          <t>{"yMeters": 50.39999771118164}</t>
        </is>
      </c>
    </row>
    <row r="81">
      <c r="A81" s="2" t="inlineStr">
        <is>
          <t>f8adf9dc-d156-428a-9040-d35df7359d14</t>
        </is>
      </c>
      <c r="B81" s="3" t="inlineStr">
        <is>
          <t>PH2-L00-MB CICO ROOM 4 - Default Point</t>
        </is>
      </c>
      <c r="C81" s="7" t="n">
        <v>3</v>
      </c>
      <c r="D81" s="5" t="n">
        <v>50.39999771118164</v>
      </c>
      <c r="E81" s="6" t="n">
        <v>0</v>
      </c>
      <c r="F81" s="7" t="n">
        <v>200</v>
      </c>
      <c r="G81" s="8" t="n">
        <v>103.4062652587891</v>
      </c>
      <c r="H81" s="8" t="n">
        <v>-9.228200912475586</v>
      </c>
      <c r="I81" s="2" t="inlineStr">
        <is>
          <t>17b565fa-cddf-4f9b-bc32-b53f7a155bbe</t>
        </is>
      </c>
      <c r="J81" s="2" t="inlineStr">
        <is>
          <t>f0f4d409-c2b4-42cf-a8a9-c9497aecb3f7</t>
        </is>
      </c>
      <c r="K81" s="3" t="inlineStr"/>
      <c r="L81" s="2" t="inlineStr">
        <is>
          <t>{"yMeters": 50.39999771118164}</t>
        </is>
      </c>
    </row>
    <row r="82">
      <c r="A82" s="2" t="inlineStr">
        <is>
          <t>4af3bd1d-1a54-4b00-9168-bf643deb07e7</t>
        </is>
      </c>
      <c r="B82" s="3" t="inlineStr">
        <is>
          <t>PH2-L00-MB CORRIDOR H.1 - Default Point</t>
        </is>
      </c>
      <c r="C82" s="7" t="n">
        <v>52</v>
      </c>
      <c r="D82" s="5" t="n">
        <v>50.39999771118164</v>
      </c>
      <c r="E82" s="6" t="n">
        <v>0</v>
      </c>
      <c r="F82" s="7" t="n">
        <v>200</v>
      </c>
      <c r="G82" s="8" t="n">
        <v>62.42097473144531</v>
      </c>
      <c r="H82" s="8" t="n">
        <v>-13.10216903686523</v>
      </c>
      <c r="I82" s="2" t="inlineStr">
        <is>
          <t>a056989f-4814-400a-9b46-602e28b40efe</t>
        </is>
      </c>
      <c r="J82" s="2" t="inlineStr">
        <is>
          <t>f0f4d409-c2b4-42cf-a8a9-c9497aecb3f7</t>
        </is>
      </c>
      <c r="K82" s="3" t="inlineStr"/>
      <c r="L82" s="2" t="inlineStr">
        <is>
          <t>{"yMeters": 50.39999771118164}</t>
        </is>
      </c>
    </row>
    <row r="83">
      <c r="A83" s="2" t="inlineStr">
        <is>
          <t>9bbc0cea-415f-49e2-b0e5-48baf9f6655e</t>
        </is>
      </c>
      <c r="B83" s="3" t="inlineStr">
        <is>
          <t>PH2-L00-MB CORRIDOR H.2 - Default Point</t>
        </is>
      </c>
      <c r="C83" s="7" t="n">
        <v>54</v>
      </c>
      <c r="D83" s="5" t="n">
        <v>50.39999771118164</v>
      </c>
      <c r="E83" s="6" t="n">
        <v>0</v>
      </c>
      <c r="F83" s="7" t="n">
        <v>200</v>
      </c>
      <c r="G83" s="8" t="n">
        <v>62.29147720336914</v>
      </c>
      <c r="H83" s="8" t="n">
        <v>-41.42424392700195</v>
      </c>
      <c r="I83" s="2" t="inlineStr">
        <is>
          <t>32d88952-915b-47bf-ba34-aa79b167d3f3</t>
        </is>
      </c>
      <c r="J83" s="2" t="inlineStr">
        <is>
          <t>f0f4d409-c2b4-42cf-a8a9-c9497aecb3f7</t>
        </is>
      </c>
      <c r="K83" s="3" t="inlineStr"/>
      <c r="L83" s="2" t="inlineStr">
        <is>
          <t>{"yMeters": 50.39999771118164}</t>
        </is>
      </c>
    </row>
    <row r="84">
      <c r="A84" s="2" t="inlineStr">
        <is>
          <t>d408b55f-9e91-4ecf-a40b-74208232e81f</t>
        </is>
      </c>
      <c r="B84" s="3" t="inlineStr">
        <is>
          <t>PH2-L00-MB CORRIDOR K.1 - Default Point</t>
        </is>
      </c>
      <c r="C84" s="7" t="n">
        <v>55</v>
      </c>
      <c r="D84" s="5" t="n">
        <v>50.39999771118164</v>
      </c>
      <c r="E84" s="6" t="n">
        <v>0</v>
      </c>
      <c r="F84" s="7" t="n">
        <v>200</v>
      </c>
      <c r="G84" s="8" t="n">
        <v>101.7729339599609</v>
      </c>
      <c r="H84" s="8" t="n">
        <v>-6.158655643463135</v>
      </c>
      <c r="I84" s="2" t="inlineStr">
        <is>
          <t>d61e84e5-b702-48bb-9463-3be2652969d5</t>
        </is>
      </c>
      <c r="J84" s="2" t="inlineStr">
        <is>
          <t>f0f4d409-c2b4-42cf-a8a9-c9497aecb3f7</t>
        </is>
      </c>
      <c r="K84" s="3" t="inlineStr"/>
      <c r="L84" s="2" t="inlineStr">
        <is>
          <t>{"yMeters": 50.39999771118164}</t>
        </is>
      </c>
    </row>
    <row r="85">
      <c r="A85" s="2" t="inlineStr">
        <is>
          <t>2aa9734d-2cf6-4168-aa49-781da078e19f</t>
        </is>
      </c>
      <c r="B85" s="3" t="inlineStr">
        <is>
          <t>PH2-L00-MB CORRIDOR K.2 - Default Point</t>
        </is>
      </c>
      <c r="C85" s="7" t="n">
        <v>53</v>
      </c>
      <c r="D85" s="5" t="n">
        <v>50.39999771118164</v>
      </c>
      <c r="E85" s="6" t="n">
        <v>0</v>
      </c>
      <c r="F85" s="7" t="n">
        <v>200</v>
      </c>
      <c r="G85" s="8" t="n">
        <v>105.7466430664062</v>
      </c>
      <c r="H85" s="8" t="n">
        <v>-37.31276321411133</v>
      </c>
      <c r="I85" s="2" t="inlineStr">
        <is>
          <t>92b6e099-c44c-4c16-9c36-fe7657eae108</t>
        </is>
      </c>
      <c r="J85" s="2" t="inlineStr">
        <is>
          <t>f0f4d409-c2b4-42cf-a8a9-c9497aecb3f7</t>
        </is>
      </c>
      <c r="K85" s="3" t="inlineStr"/>
      <c r="L85" s="2" t="inlineStr">
        <is>
          <t>{"yMeters": 50.39999771118164}</t>
        </is>
      </c>
    </row>
    <row r="86">
      <c r="A86" s="2" t="inlineStr">
        <is>
          <t>adae82f2-5450-489d-9c3b-ab895220d82b</t>
        </is>
      </c>
      <c r="B86" s="3" t="inlineStr">
        <is>
          <t>PH2-L00-MB CORRIDOR NORTH - Default Point</t>
        </is>
      </c>
      <c r="C86" s="7" t="n">
        <v>53</v>
      </c>
      <c r="D86" s="5" t="n">
        <v>50.39999771118164</v>
      </c>
      <c r="E86" s="6" t="n">
        <v>0</v>
      </c>
      <c r="F86" s="7" t="n">
        <v>200</v>
      </c>
      <c r="G86" s="8" t="n">
        <v>92.9847412109375</v>
      </c>
      <c r="H86" s="8" t="n">
        <v>-6.303316593170166</v>
      </c>
      <c r="I86" s="2" t="inlineStr">
        <is>
          <t>853b36b3-385e-4c0c-b7fd-fa1c04291bce</t>
        </is>
      </c>
      <c r="J86" s="2" t="inlineStr">
        <is>
          <t>f0f4d409-c2b4-42cf-a8a9-c9497aecb3f7</t>
        </is>
      </c>
      <c r="K86" s="3" t="inlineStr"/>
      <c r="L86" s="2" t="inlineStr">
        <is>
          <t>{"yMeters": 50.39999771118164}</t>
        </is>
      </c>
    </row>
    <row r="87">
      <c r="A87" s="2" t="inlineStr">
        <is>
          <t>e729eae3-5e72-4680-bcc1-e9a4fd5c3bfa</t>
        </is>
      </c>
      <c r="B87" s="3" t="inlineStr">
        <is>
          <t>PH2-L00-MB CORRIDOR R2 - Default Point</t>
        </is>
      </c>
      <c r="C87" s="7" t="n">
        <v>54</v>
      </c>
      <c r="D87" s="5" t="n">
        <v>50.39999771118164</v>
      </c>
      <c r="E87" s="6" t="n">
        <v>0</v>
      </c>
      <c r="F87" s="7" t="n">
        <v>200</v>
      </c>
      <c r="G87" s="8" t="n">
        <v>88.16216278076172</v>
      </c>
      <c r="H87" s="8" t="n">
        <v>-50.15323257446289</v>
      </c>
      <c r="I87" s="2" t="inlineStr">
        <is>
          <t>bfa7801b-a03c-462e-9f22-18362b0e2fab</t>
        </is>
      </c>
      <c r="J87" s="2" t="inlineStr">
        <is>
          <t>f0f4d409-c2b4-42cf-a8a9-c9497aecb3f7</t>
        </is>
      </c>
      <c r="K87" s="3" t="inlineStr"/>
      <c r="L87" s="2" t="inlineStr">
        <is>
          <t>{"yMeters": 50.39999771118164}</t>
        </is>
      </c>
    </row>
    <row r="88">
      <c r="A88" s="2" t="inlineStr">
        <is>
          <t>00b5344c-57a1-4e87-a0fe-df1bbbf68961</t>
        </is>
      </c>
      <c r="B88" s="3" t="inlineStr">
        <is>
          <t>PH2-L00-MB DATAHALL 1.1 - Default Point</t>
        </is>
      </c>
      <c r="C88" s="7" t="n">
        <v>54</v>
      </c>
      <c r="D88" s="5" t="n">
        <v>50.39999771118164</v>
      </c>
      <c r="E88" s="6" t="n">
        <v>0</v>
      </c>
      <c r="F88" s="7" t="n">
        <v>200</v>
      </c>
      <c r="G88" s="8" t="n">
        <v>75.93130493164062</v>
      </c>
      <c r="H88" s="8" t="n">
        <v>-16.76773834228516</v>
      </c>
      <c r="I88" s="2" t="inlineStr">
        <is>
          <t>64891c84-5e5c-4669-829f-bd2d90b0e126</t>
        </is>
      </c>
      <c r="J88" s="2" t="inlineStr">
        <is>
          <t>f0f4d409-c2b4-42cf-a8a9-c9497aecb3f7</t>
        </is>
      </c>
      <c r="K88" s="3" t="inlineStr">
        <is>
          <t>2026-08-27T14:38:19.241Z</t>
        </is>
      </c>
      <c r="L88" s="2" t="inlineStr">
        <is>
          <t>{"yMeters": 50.39999771118164}</t>
        </is>
      </c>
    </row>
    <row r="89">
      <c r="A89" s="2" t="inlineStr">
        <is>
          <t>1973d1ec-bf34-49eb-87f1-8702f16f3465</t>
        </is>
      </c>
      <c r="B89" s="3" t="inlineStr">
        <is>
          <t>PH2-L00-MB DATAHALL 1.2 - Default Point</t>
        </is>
      </c>
      <c r="C89" s="4" t="n">
        <v>0</v>
      </c>
      <c r="D89" s="5" t="n">
        <v>50.39999771118164</v>
      </c>
      <c r="E89" s="6" t="n">
        <v>0</v>
      </c>
      <c r="F89" s="7" t="n">
        <v>200</v>
      </c>
      <c r="G89" s="8" t="n">
        <v>73.89930725097656</v>
      </c>
      <c r="H89" s="8" t="n">
        <v>-35.56240844726562</v>
      </c>
      <c r="I89" s="2" t="inlineStr">
        <is>
          <t>15c9cc2c-a58b-4f92-ba13-d231f5fbe67c</t>
        </is>
      </c>
      <c r="J89" s="2" t="inlineStr">
        <is>
          <t>f0f4d409-c2b4-42cf-a8a9-c9497aecb3f7</t>
        </is>
      </c>
      <c r="K89" s="3" t="inlineStr"/>
      <c r="L89" s="2" t="inlineStr">
        <is>
          <t>{"yMeters": 50.39999771118164}</t>
        </is>
      </c>
    </row>
    <row r="90">
      <c r="A90" s="2" t="inlineStr">
        <is>
          <t>e7544552-b78e-4427-8aed-5593c94a1687</t>
        </is>
      </c>
      <c r="B90" s="3" t="inlineStr">
        <is>
          <t>PH2-L00-MB DATAHALL 2.1 - Default Point</t>
        </is>
      </c>
      <c r="C90" s="7" t="n">
        <v>53</v>
      </c>
      <c r="D90" s="5" t="n">
        <v>50.39999771118164</v>
      </c>
      <c r="E90" s="6" t="n">
        <v>0</v>
      </c>
      <c r="F90" s="7" t="n">
        <v>200</v>
      </c>
      <c r="G90" s="8" t="n">
        <v>93.60713958740234</v>
      </c>
      <c r="H90" s="8" t="n">
        <v>-17.89067459106445</v>
      </c>
      <c r="I90" s="2" t="inlineStr">
        <is>
          <t>f11f8792-760f-4436-b6ce-eefdb2d30e5e</t>
        </is>
      </c>
      <c r="J90" s="2" t="inlineStr">
        <is>
          <t>f0f4d409-c2b4-42cf-a8a9-c9497aecb3f7</t>
        </is>
      </c>
      <c r="K90" s="3" t="inlineStr"/>
      <c r="L90" s="2" t="inlineStr">
        <is>
          <t>{"yMeters": 50.39999771118164}</t>
        </is>
      </c>
    </row>
    <row r="91">
      <c r="A91" s="2" t="inlineStr">
        <is>
          <t>08d3ca9d-9b47-414a-9b33-3217c8b9e99c</t>
        </is>
      </c>
      <c r="B91" s="3" t="inlineStr">
        <is>
          <t>PH2-L00-MB DATAHALL 2.2 - Default Point</t>
        </is>
      </c>
      <c r="C91" s="4" t="n">
        <v>0</v>
      </c>
      <c r="D91" s="5" t="n">
        <v>50.39999771118164</v>
      </c>
      <c r="E91" s="6" t="n">
        <v>0</v>
      </c>
      <c r="F91" s="7" t="n">
        <v>200</v>
      </c>
      <c r="G91" s="8" t="n">
        <v>96.14414978027344</v>
      </c>
      <c r="H91" s="8" t="n">
        <v>-37.31330490112305</v>
      </c>
      <c r="I91" s="2" t="inlineStr">
        <is>
          <t>473033e5-ee98-442b-bd4e-ac34aa8252f4</t>
        </is>
      </c>
      <c r="J91" s="2" t="inlineStr">
        <is>
          <t>f0f4d409-c2b4-42cf-a8a9-c9497aecb3f7</t>
        </is>
      </c>
      <c r="K91" s="3" t="inlineStr"/>
      <c r="L91" s="2" t="inlineStr">
        <is>
          <t>{"yMeters": 50.39999771118164}</t>
        </is>
      </c>
    </row>
    <row r="92">
      <c r="A92" s="2" t="inlineStr">
        <is>
          <t>addf936c-5ccb-4a0a-b9c4-6473a0e0dbfa</t>
        </is>
      </c>
      <c r="B92" s="3" t="inlineStr">
        <is>
          <t>PH2-L00-MB EWALL TRANSFORMER H - Default Point</t>
        </is>
      </c>
      <c r="C92" s="7" t="n">
        <v>43</v>
      </c>
      <c r="D92" s="5" t="n">
        <v>50.39999771118164</v>
      </c>
      <c r="E92" s="6" t="n">
        <v>0</v>
      </c>
      <c r="F92" s="7" t="n">
        <v>200</v>
      </c>
      <c r="G92" s="8" t="n">
        <v>59.26847457885742</v>
      </c>
      <c r="H92" s="8" t="n">
        <v>-38.03349685668945</v>
      </c>
      <c r="I92" s="2" t="inlineStr">
        <is>
          <t>a0fad07c-cb88-4277-867e-dd9894816511</t>
        </is>
      </c>
      <c r="J92" s="2" t="inlineStr">
        <is>
          <t>f0f4d409-c2b4-42cf-a8a9-c9497aecb3f7</t>
        </is>
      </c>
      <c r="K92" s="3" t="inlineStr"/>
      <c r="L92" s="2" t="inlineStr">
        <is>
          <t>{"yMeters": 50.39999771118164}</t>
        </is>
      </c>
    </row>
    <row r="93">
      <c r="A93" s="2" t="inlineStr">
        <is>
          <t>229435e9-e03c-4e7d-aa77-c6028af3c17a</t>
        </is>
      </c>
      <c r="B93" s="3" t="inlineStr">
        <is>
          <t>PH2-L00-MB EWALL TRANSFORMER K - Default Point</t>
        </is>
      </c>
      <c r="C93" s="7" t="n">
        <v>40</v>
      </c>
      <c r="D93" s="5" t="n">
        <v>50.39999771118164</v>
      </c>
      <c r="E93" s="6" t="n">
        <v>0</v>
      </c>
      <c r="F93" s="7" t="n">
        <v>200</v>
      </c>
      <c r="G93" s="8" t="n">
        <v>108.833610534668</v>
      </c>
      <c r="H93" s="8" t="n">
        <v>-7.148837089538574</v>
      </c>
      <c r="I93" s="2" t="inlineStr">
        <is>
          <t>8c4a4de1-38d2-4949-9c2c-2fd20c9ee8ad</t>
        </is>
      </c>
      <c r="J93" s="2" t="inlineStr">
        <is>
          <t>f0f4d409-c2b4-42cf-a8a9-c9497aecb3f7</t>
        </is>
      </c>
      <c r="K93" s="3" t="inlineStr"/>
      <c r="L93" s="2" t="inlineStr">
        <is>
          <t>{"yMeters": 50.39999771118164}</t>
        </is>
      </c>
    </row>
    <row r="94">
      <c r="A94" s="2" t="inlineStr">
        <is>
          <t>49293340-80fb-41b7-ad73-92e92e8e2800</t>
        </is>
      </c>
      <c r="B94" s="3" t="inlineStr">
        <is>
          <t>PH2-L00-MB FIBRE ENTRY ROOM 03 - Default Point</t>
        </is>
      </c>
      <c r="C94" s="7" t="n">
        <v>24</v>
      </c>
      <c r="D94" s="5" t="n">
        <v>50.39999771118164</v>
      </c>
      <c r="E94" s="6" t="n">
        <v>0</v>
      </c>
      <c r="F94" s="7" t="n">
        <v>200</v>
      </c>
      <c r="G94" s="8" t="n">
        <v>59.44930267333984</v>
      </c>
      <c r="H94" s="8" t="n">
        <v>-44.97725296020508</v>
      </c>
      <c r="I94" s="2" t="inlineStr">
        <is>
          <t>71e7aeac-5363-4ca9-b069-77fac8e7308c</t>
        </is>
      </c>
      <c r="J94" s="2" t="inlineStr">
        <is>
          <t>f0f4d409-c2b4-42cf-a8a9-c9497aecb3f7</t>
        </is>
      </c>
      <c r="K94" s="3" t="inlineStr"/>
      <c r="L94" s="2" t="inlineStr">
        <is>
          <t>{"yMeters": 50.39999771118164}</t>
        </is>
      </c>
    </row>
    <row r="95">
      <c r="A95" s="2" t="inlineStr">
        <is>
          <t>05cae6e9-e217-4eb4-8b05-c4e003b389a6</t>
        </is>
      </c>
      <c r="B95" s="3" t="inlineStr">
        <is>
          <t>PH2-L00-MB MSB_H - Default Point</t>
        </is>
      </c>
      <c r="C95" s="7" t="n">
        <v>52</v>
      </c>
      <c r="D95" s="5" t="n">
        <v>50.39999771118164</v>
      </c>
      <c r="E95" s="6" t="n">
        <v>0</v>
      </c>
      <c r="F95" s="7" t="n">
        <v>200</v>
      </c>
      <c r="G95" s="8" t="n">
        <v>59.3848991394043</v>
      </c>
      <c r="H95" s="8" t="n">
        <v>-24.79636383056641</v>
      </c>
      <c r="I95" s="2" t="inlineStr">
        <is>
          <t>6a82904d-7cf0-41f8-9349-056e0f5583a0</t>
        </is>
      </c>
      <c r="J95" s="2" t="inlineStr">
        <is>
          <t>f0f4d409-c2b4-42cf-a8a9-c9497aecb3f7</t>
        </is>
      </c>
      <c r="K95" s="3" t="inlineStr"/>
      <c r="L95" s="2" t="inlineStr">
        <is>
          <t>{"yMeters": 50.39999771118164}</t>
        </is>
      </c>
    </row>
    <row r="96">
      <c r="A96" s="2" t="inlineStr">
        <is>
          <t>943e39d9-383a-49fd-b6f4-d078d161453e</t>
        </is>
      </c>
      <c r="B96" s="3" t="inlineStr">
        <is>
          <t>PH2-L00-MB MSB_K - Default Point</t>
        </is>
      </c>
      <c r="C96" s="7" t="n">
        <v>52</v>
      </c>
      <c r="D96" s="5" t="n">
        <v>50.39999771118164</v>
      </c>
      <c r="E96" s="6" t="n">
        <v>0</v>
      </c>
      <c r="F96" s="7" t="n">
        <v>200</v>
      </c>
      <c r="G96" s="8" t="n">
        <v>108.7793121337891</v>
      </c>
      <c r="H96" s="8" t="n">
        <v>-21.13360595703125</v>
      </c>
      <c r="I96" s="2" t="inlineStr">
        <is>
          <t>def3b49e-b28d-4478-957a-228135bbf5b7</t>
        </is>
      </c>
      <c r="J96" s="2" t="inlineStr">
        <is>
          <t>f0f4d409-c2b4-42cf-a8a9-c9497aecb3f7</t>
        </is>
      </c>
      <c r="K96" s="3" t="inlineStr"/>
      <c r="L96" s="2" t="inlineStr">
        <is>
          <t>{"yMeters": 50.39999771118164}</t>
        </is>
      </c>
    </row>
    <row r="97">
      <c r="A97" s="2" t="inlineStr">
        <is>
          <t>5d2f3c79-6663-41e3-8dc7-22da84e7ed0e</t>
        </is>
      </c>
      <c r="B97" s="3" t="inlineStr">
        <is>
          <t>PH2-L00-MB PRIMARY COP_H - Default Point</t>
        </is>
      </c>
      <c r="C97" s="7" t="n">
        <v>49</v>
      </c>
      <c r="D97" s="5" t="n">
        <v>50.39999771118164</v>
      </c>
      <c r="E97" s="6" t="n">
        <v>0</v>
      </c>
      <c r="F97" s="7" t="n">
        <v>200</v>
      </c>
      <c r="G97" s="8" t="n">
        <v>59.22624206542969</v>
      </c>
      <c r="H97" s="8" t="n">
        <v>-15.12586879730225</v>
      </c>
      <c r="I97" s="2" t="inlineStr">
        <is>
          <t>ee13845b-fa0c-453a-876d-d353e5cdd241</t>
        </is>
      </c>
      <c r="J97" s="2" t="inlineStr">
        <is>
          <t>f0f4d409-c2b4-42cf-a8a9-c9497aecb3f7</t>
        </is>
      </c>
      <c r="K97" s="3" t="inlineStr"/>
      <c r="L97" s="2" t="inlineStr">
        <is>
          <t>{"yMeters": 50.39999771118164}</t>
        </is>
      </c>
    </row>
    <row r="98">
      <c r="A98" s="2" t="inlineStr">
        <is>
          <t>60dd2c61-6657-4372-86f0-665ae5ebe5bc</t>
        </is>
      </c>
      <c r="B98" s="3" t="inlineStr">
        <is>
          <t>PH2-L00-MB PRIMARY COP_K - Default Point</t>
        </is>
      </c>
      <c r="C98" s="7" t="n">
        <v>55</v>
      </c>
      <c r="D98" s="5" t="n">
        <v>50.39999771118164</v>
      </c>
      <c r="E98" s="6" t="n">
        <v>0</v>
      </c>
      <c r="F98" s="7" t="n">
        <v>200</v>
      </c>
      <c r="G98" s="8" t="n">
        <v>109.2227401733398</v>
      </c>
      <c r="H98" s="8" t="n">
        <v>-29.73335647583008</v>
      </c>
      <c r="I98" s="2" t="inlineStr">
        <is>
          <t>cfdf27fa-d848-47d1-a516-0328d2eadde7</t>
        </is>
      </c>
      <c r="J98" s="2" t="inlineStr">
        <is>
          <t>f0f4d409-c2b4-42cf-a8a9-c9497aecb3f7</t>
        </is>
      </c>
      <c r="K98" s="3" t="inlineStr"/>
      <c r="L98" s="2" t="inlineStr">
        <is>
          <t>{"yMeters": 50.39999771118164}</t>
        </is>
      </c>
    </row>
    <row r="99">
      <c r="A99" s="2" t="inlineStr">
        <is>
          <t>27adbecb-7187-4d18-9670-6b5843318cdb</t>
        </is>
      </c>
      <c r="B99" s="3" t="inlineStr">
        <is>
          <t>PH2-L00-MB SECONDARY COP_H - Default Point</t>
        </is>
      </c>
      <c r="C99" s="7" t="n">
        <v>51</v>
      </c>
      <c r="D99" s="5" t="n">
        <v>50.39999771118164</v>
      </c>
      <c r="E99" s="6" t="n">
        <v>0</v>
      </c>
      <c r="F99" s="7" t="n">
        <v>200</v>
      </c>
      <c r="G99" s="8" t="n">
        <v>59.25839233398438</v>
      </c>
      <c r="H99" s="8" t="n">
        <v>-8.287195205688477</v>
      </c>
      <c r="I99" s="2" t="inlineStr">
        <is>
          <t>64b6cf8c-571b-4eab-a268-f4f4cf84fabb</t>
        </is>
      </c>
      <c r="J99" s="2" t="inlineStr">
        <is>
          <t>f0f4d409-c2b4-42cf-a8a9-c9497aecb3f7</t>
        </is>
      </c>
      <c r="K99" s="3" t="inlineStr"/>
      <c r="L99" s="2" t="inlineStr">
        <is>
          <t>{"yMeters": 50.39999771118164}</t>
        </is>
      </c>
    </row>
    <row r="100">
      <c r="A100" s="2" t="inlineStr">
        <is>
          <t>3be306d5-237c-4cd1-9043-04b04d437850</t>
        </is>
      </c>
      <c r="B100" s="3" t="inlineStr">
        <is>
          <t>PH2-L00-MB SECONDARY COP_K - Default Point</t>
        </is>
      </c>
      <c r="C100" s="7" t="n">
        <v>52</v>
      </c>
      <c r="D100" s="5" t="n">
        <v>50.39999771118164</v>
      </c>
      <c r="E100" s="6" t="n">
        <v>0</v>
      </c>
      <c r="F100" s="7" t="n">
        <v>200</v>
      </c>
      <c r="G100" s="8" t="n">
        <v>108.9797515869141</v>
      </c>
      <c r="H100" s="8" t="n">
        <v>-37.10693359375</v>
      </c>
      <c r="I100" s="2" t="inlineStr">
        <is>
          <t>56239033-3c51-4e04-b3f4-1b8c2f728523</t>
        </is>
      </c>
      <c r="J100" s="2" t="inlineStr">
        <is>
          <t>f0f4d409-c2b4-42cf-a8a9-c9497aecb3f7</t>
        </is>
      </c>
      <c r="K100" s="3" t="inlineStr"/>
      <c r="L100" s="2" t="inlineStr">
        <is>
          <t>{"yMeters": 50.39999771118164}</t>
        </is>
      </c>
    </row>
    <row r="101">
      <c r="A101" s="2" t="inlineStr">
        <is>
          <t>34c97918-3289-4623-be01-7d3d3aab9d20</t>
        </is>
      </c>
      <c r="B101" s="3" t="inlineStr">
        <is>
          <t>PH2-L00-MB SPRINKLER VALVE ROOM 02 - Default Point</t>
        </is>
      </c>
      <c r="C101" s="7" t="n">
        <v>52</v>
      </c>
      <c r="D101" s="5" t="n">
        <v>50.39999771118164</v>
      </c>
      <c r="E101" s="6" t="n">
        <v>0</v>
      </c>
      <c r="F101" s="7" t="n">
        <v>200</v>
      </c>
      <c r="G101" s="8" t="n">
        <v>59.2323112487793</v>
      </c>
      <c r="H101" s="8" t="n">
        <v>-49.67875671386719</v>
      </c>
      <c r="I101" s="2" t="inlineStr">
        <is>
          <t>74db3e39-4e14-4d19-bf80-0c1ee054d9af</t>
        </is>
      </c>
      <c r="J101" s="2" t="inlineStr">
        <is>
          <t>f0f4d409-c2b4-42cf-a8a9-c9497aecb3f7</t>
        </is>
      </c>
      <c r="K101" s="3" t="inlineStr"/>
      <c r="L101" s="2" t="inlineStr">
        <is>
          <t>{"yMeters": 50.39999771118164}</t>
        </is>
      </c>
    </row>
    <row r="102">
      <c r="A102" s="2" t="inlineStr">
        <is>
          <t>4f5bf187-6bef-48c0-95d6-2dbbf485dbed</t>
        </is>
      </c>
      <c r="B102" s="3" t="inlineStr">
        <is>
          <t>PH2-L00-MB WATER PUMP ROOM 02 - Default Point</t>
        </is>
      </c>
      <c r="C102" s="7" t="n">
        <v>23</v>
      </c>
      <c r="D102" s="5" t="n">
        <v>50.39999771118164</v>
      </c>
      <c r="E102" s="6" t="n">
        <v>0</v>
      </c>
      <c r="F102" s="7" t="n">
        <v>200</v>
      </c>
      <c r="G102" s="8" t="n">
        <v>109.2667236328125</v>
      </c>
      <c r="H102" s="8" t="n">
        <v>-48.68149185180664</v>
      </c>
      <c r="I102" s="2" t="inlineStr">
        <is>
          <t>01c84724-3122-4c68-aa9d-2f7810c76bd5</t>
        </is>
      </c>
      <c r="J102" s="2" t="inlineStr">
        <is>
          <t>f0f4d409-c2b4-42cf-a8a9-c9497aecb3f7</t>
        </is>
      </c>
      <c r="K102" s="3" t="inlineStr"/>
      <c r="L102" s="2" t="inlineStr">
        <is>
          <t>{"yMeters": 50.39999771118164}</t>
        </is>
      </c>
    </row>
    <row r="104">
      <c r="B104" s="9" t="inlineStr">
        <is>
          <t>TOTAL / CHECKS</t>
        </is>
      </c>
      <c r="C104" s="9">
        <f>SUM(C2:C102)</f>
        <v/>
      </c>
      <c r="D104" s="9">
        <f>SUMPRODUCT(--(ROUND(D2:D102,1)=50.4))</f>
        <v/>
      </c>
      <c r="E104" s="9">
        <f>SUMPRODUCT(--(E2:E102=0))</f>
        <v/>
      </c>
      <c r="F104" s="9">
        <f>SUMPRODUCT(--(F2:F102=200))</f>
        <v/>
      </c>
    </row>
    <row r="105">
      <c r="B105" s="10" t="inlineStr">
        <is>
          <t>photos / rows at 50.4 before / rows at 0 after / HTTP 200</t>
        </is>
      </c>
    </row>
  </sheetData>
  <autoFilter ref="A1:L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62" customWidth="1" min="3" max="3"/>
  </cols>
  <sheetData>
    <row r="1">
      <c r="A1" s="11" t="inlineStr">
        <is>
          <t>PLT-2649 - PA12 360 capture point correction</t>
        </is>
      </c>
    </row>
    <row r="2">
      <c r="A2" s="12" t="inlineStr">
        <is>
          <t>BEFORE state captured 2026-08-27 immediately prior to the bulk PATCH, with the result of each row.</t>
        </is>
      </c>
    </row>
    <row r="4">
      <c r="A4" s="9" t="inlineStr">
        <is>
          <t>Project</t>
        </is>
      </c>
      <c r="B4" s="13" t="inlineStr">
        <is>
          <t>EQX - PA12 Phase 1&amp;2</t>
        </is>
      </c>
      <c r="C4" s="10" t="inlineStr">
        <is>
          <t>projectId 129a3279-da09-4b1d-b7a1-3d07e2079d98</t>
        </is>
      </c>
    </row>
    <row r="5">
      <c r="A5" s="9" t="inlineStr">
        <is>
          <t>Affected level</t>
        </is>
      </c>
      <c r="B5" s="13" t="inlineStr">
        <is>
          <t>DC - 0G - FFL</t>
        </is>
      </c>
      <c r="C5" s="10" t="inlineStr">
        <is>
          <t>modelLevelId f0f4d409-c2b4-42cf-a8a9-c9497aecb3f7</t>
        </is>
      </c>
    </row>
    <row r="6">
      <c r="A6" s="9" t="inlineStr">
        <is>
          <t>Capture points corrected</t>
        </is>
      </c>
      <c r="B6" s="14">
        <f>COUNTA('Before and after'!A2:A102)</f>
        <v/>
      </c>
      <c r="C6" s="10" t="inlineStr">
        <is>
          <t>every one was at 50.4</t>
        </is>
      </c>
    </row>
    <row r="7">
      <c r="A7" s="9" t="inlineStr">
        <is>
          <t>...holding at least one photo</t>
        </is>
      </c>
      <c r="B7" s="14">
        <f>COUNTIF('Before and after'!C2:C102,"&gt;0")</f>
        <v/>
      </c>
      <c r="C7" s="10" t="inlineStr"/>
    </row>
    <row r="8">
      <c r="A8" s="9" t="inlineStr">
        <is>
          <t>...holding zero photos</t>
        </is>
      </c>
      <c r="B8" s="14">
        <f>COUNTIF('Before and after'!C2:C102,0)</f>
        <v/>
      </c>
      <c r="C8" s="10" t="inlineStr">
        <is>
          <t>corrected too, for consistency</t>
        </is>
      </c>
    </row>
    <row r="9">
      <c r="A9" s="9" t="inlineStr">
        <is>
          <t>360 photos affected</t>
        </is>
      </c>
      <c r="B9" s="14">
        <f>SUM('Before and after'!C2:C102)</f>
        <v/>
      </c>
      <c r="C9" s="10" t="inlineStr">
        <is>
          <t>they read position from the point, not their own row</t>
        </is>
      </c>
    </row>
    <row r="10">
      <c r="A10" s="9" t="inlineStr">
        <is>
          <t>PATCH calls returning 200</t>
        </is>
      </c>
      <c r="B10" s="14">
        <f>SUMPRODUCT(--('Before and after'!F2:F102=200))</f>
        <v/>
      </c>
      <c r="C10" s="10" t="inlineStr">
        <is>
          <t>must equal the point count above</t>
        </is>
      </c>
    </row>
    <row r="12">
      <c r="A12" s="9" t="inlineStr">
        <is>
          <t>yMeters BEFORE (all 101 rows)</t>
        </is>
      </c>
      <c r="B12" s="15" t="n">
        <v>50.39999771118164</v>
      </c>
      <c r="C12" s="10" t="inlineStr">
        <is>
          <t>frozen when the points were generated</t>
        </is>
      </c>
    </row>
    <row r="13">
      <c r="A13" s="9" t="inlineStr">
        <is>
          <t>yMeters AFTER (all 101 rows)</t>
        </is>
      </c>
      <c r="B13" s="16" t="n">
        <v>0</v>
      </c>
      <c r="C13" s="10" t="inlineStr">
        <is>
          <t>ground floor datum, proven three ways - see xyz-platform-context</t>
        </is>
      </c>
    </row>
    <row r="14">
      <c r="A14" s="9" t="inlineStr">
        <is>
          <t>Vertical error corrected (metres)</t>
        </is>
      </c>
      <c r="B14" s="17">
        <f>B12-B13</f>
        <v/>
      </c>
      <c r="C14" s="10" t="inlineStr">
        <is>
          <t>the photos were this far above the building</t>
        </is>
      </c>
    </row>
    <row r="16">
      <c r="A16" s="18" t="inlineStr">
        <is>
          <t>LEVEL ELEVATION IN THE MODEL IS STILL WRONG</t>
        </is>
      </c>
    </row>
    <row r="17">
      <c r="A17" s="13" t="inlineStr">
        <is>
          <t>The level DC - 0G - FFL reads -50.400 in the model as of the 2026-08-06 re-upload.</t>
        </is>
      </c>
    </row>
    <row r="18">
      <c r="A18" s="13" t="inlineStr">
        <is>
          <t>It should be 0. The customer set it to the negative of the old value instead of zero.</t>
        </is>
      </c>
    </row>
    <row r="19">
      <c r="A19" s="13" t="inlineStr">
        <is>
          <t>Consequence: any NEW capture point generated on that floor would be 50 m underground.</t>
        </is>
      </c>
    </row>
    <row r="20">
      <c r="A20" s="13" t="inlineStr">
        <is>
          <t>This correction fixes the 1,927 existing photos only. The model fix is still required.</t>
        </is>
      </c>
    </row>
    <row r="22">
      <c r="A22" s="19" t="inlineStr">
        <is>
          <t>WHAT WAS CHANGED</t>
        </is>
      </c>
    </row>
    <row r="23">
      <c r="A23" s="13" t="inlineStr">
        <is>
          <t>One field: yMeters -&gt; 0.0, on each of the 101 capture points. PATCH, one row at a time.</t>
        </is>
      </c>
    </row>
    <row r="24">
      <c r="A24" s="13" t="inlineStr">
        <is>
          <t>xMeters and zMeters untouched. Name, modelRoomId and modelLevelId untouched.</t>
        </is>
      </c>
    </row>
    <row r="25">
      <c r="A25" s="13" t="inlineStr">
        <is>
          <t>Side effect: lastModifiedOn null -&gt; timestamp, lastModifiedBy -&gt; ilia.kuzmin.</t>
        </is>
      </c>
    </row>
    <row r="26">
      <c r="A26" s="13" t="inlineStr">
        <is>
          <t>Verified after: 0 other capture points moved, 0 photos on other levels moved,</t>
        </is>
      </c>
    </row>
    <row r="27">
      <c r="A27" s="13" t="inlineStr">
        <is>
          <t xml:space="preserve">   0 capture rows rewritten, project totals unchanged at 407 points / 6,944 captures.</t>
        </is>
      </c>
    </row>
    <row r="28">
      <c r="A28" s="13" t="inlineStr">
        <is>
          <t>Regular photos and issues are unaffected - they carry their own coordinates.</t>
        </is>
      </c>
    </row>
    <row r="29">
      <c r="A29" s="13" t="inlineStr">
        <is>
          <t>No parquet artefact holds capture points, so nothing needed regenerating.</t>
        </is>
      </c>
    </row>
    <row r="31">
      <c r="A31" s="18" t="inlineStr">
        <is>
          <t>HOW TO REVERT</t>
        </is>
      </c>
    </row>
    <row r="32">
      <c r="A32" s="13" t="inlineStr">
        <is>
          <t>Each row carries its exact revert body in the last column of the data sheet.</t>
        </is>
      </c>
    </row>
    <row r="33">
      <c r="A33" s="13" t="inlineStr">
        <is>
          <t>PATCH /api/v2/projects/{projectId}/room-capture-points/{roomCapturePointId}</t>
        </is>
      </c>
    </row>
    <row r="34">
      <c r="A34" s="13" t="inlineStr">
        <is>
          <t>Body: {"yMeters": 50.39999771118164}</t>
        </is>
      </c>
    </row>
    <row r="35">
      <c r="A35" s="13" t="inlineStr">
        <is>
          <t>Use PATCH, never PUT - PUT requires the name and can trip the duplicate-name constraint.</t>
        </is>
      </c>
    </row>
    <row r="36">
      <c r="A36" s="20" t="inlineStr">
        <is>
          <t>NEVER use the DELETE endpoint on these: it soft-deletes the linked photos and their blobs.</t>
        </is>
      </c>
    </row>
    <row r="39">
      <c r="A39" s="19" t="inlineStr">
        <is>
          <t>STILL OPEN AFTER THIS CHANGE</t>
        </is>
      </c>
    </row>
    <row r="40">
      <c r="A40" s="13" t="inlineStr">
        <is>
          <t>Model level still -50.4 (see above) - customer action.</t>
        </is>
      </c>
    </row>
    <row r="41">
      <c r="A41" s="13" t="inlineStr">
        <is>
          <t>All 101 modelRoomIds are orphaned: the Phase 2 ground floor rooms are gone from the model,</t>
        </is>
      </c>
    </row>
    <row r="42">
      <c r="A42" s="13" t="inlineStr">
        <is>
          <t xml:space="preserve">   so room name and room filter stay broken for these 1,927 photos.</t>
        </is>
      </c>
    </row>
    <row r="43">
      <c r="A43" s="13" t="inlineStr">
        <is>
          <t>XSPCMA-868 stays open: the ground floor is still listed twice under two spellings.</t>
        </is>
      </c>
    </row>
    <row r="44">
      <c r="A44" s="13" t="inlineStr">
        <is>
          <t>If the rooms are restored, ~101 new empty capture points may appear - expect doubled pins.</t>
        </is>
      </c>
    </row>
    <row r="45">
      <c r="A45" s="13" t="inlineStr">
        <is>
          <t xml:space="preserve">   Deleting the EMPTY new ones is safe; deleting one that holds photos is not.</t>
        </is>
      </c>
    </row>
    <row r="48">
      <c r="A48" s="21" t="inlineStr">
        <is>
          <t>Note: formulas in this workbook were not machine-recalculated (LibreOffice unavailable in the build environment); ranges were audited by hand. Excel will compute them on open.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2026-08-27T15:08:51Z</dcterms:created>
  <dcterms:modified xsi:type="dcterms:W3CDTF">2026-08-27T15:08:51Z</dcterms:modified>
</cp:coreProperties>
</file>